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Test Cases" sheetId="3" state="visible" r:id="rId5"/>
    <sheet name="Defect Log" sheetId="4" state="visible" r:id="rId6"/>
  </sheets>
  <definedNames>
    <definedName function="false" hidden="false" localSheetId="3" name="_xlnm.Print_Titles" vbProcedure="false">'Defect Log'!$2:$2</definedName>
    <definedName function="false" hidden="true" localSheetId="3" name="_xlnm._FilterDatabase" vbProcedure="false">'Defect Log'!$A$2:$J$7</definedName>
    <definedName function="false" hidden="false" localSheetId="1" name="_xlnm.Print_Area" vbProcedure="false">Summary!$B$2:$Y$48</definedName>
    <definedName function="false" hidden="false" localSheetId="2" name="_xlnm.Print_Titles" vbProcedure="false">'Test Cases'!$2:$2</definedName>
    <definedName function="false" hidden="true" localSheetId="2" name="_xlnm._FilterDatabase" vbProcedure="false">'Test Cases'!$A$2:$J$28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<sst xmlns="http://schemas.openxmlformats.org/spreadsheetml/2006/main" count="363" uniqueCount="256">
  <si>
    <t xml:space="preserve">ECL Operations Hub</t>
  </si>
  <si>
    <t xml:space="preserve">Functional and Accessibility Test Report</t>
  </si>
  <si>
    <t xml:space="preserve">Cycle 1, manual execution</t>
  </si>
  <si>
    <t xml:space="preserve">DOCUMENT CONTROL</t>
  </si>
  <si>
    <t xml:space="preserve">Report ID</t>
  </si>
  <si>
    <t xml:space="preserve">QA-ECL-C1-001</t>
  </si>
  <si>
    <t xml:space="preserve">Version</t>
  </si>
  <si>
    <t xml:space="preserve">1.0</t>
  </si>
  <si>
    <t xml:space="preserve">Author</t>
  </si>
  <si>
    <t xml:space="preserve">Destine April Fortaliza, QA</t>
  </si>
  <si>
    <t xml:space="preserve">Date issued</t>
  </si>
  <si>
    <t xml:space="preserve">7 September 2026</t>
  </si>
  <si>
    <t xml:space="preserve">Status</t>
  </si>
  <si>
    <t xml:space="preserve">Issued</t>
  </si>
  <si>
    <t xml:space="preserve">TEST BASIS</t>
  </si>
  <si>
    <t xml:space="preserve">Application</t>
  </si>
  <si>
    <t xml:space="preserve">ECL Operations Hub, an internal operations platform covering relationships, pipeline, work items and reporting.</t>
  </si>
  <si>
    <t xml:space="preserve">Environment</t>
  </si>
  <si>
    <t xml:space="preserve">Web. Chrome 140 on macOS. Viewport 1512 x 797.</t>
  </si>
  <si>
    <t xml:space="preserve">Test dates</t>
  </si>
  <si>
    <t xml:space="preserve">6 to 7 September 2026</t>
  </si>
  <si>
    <t xml:space="preserve">Test types</t>
  </si>
  <si>
    <t xml:space="preserve">Functional, UI, navigation, empty state, front end performance, and WCAG 2.1 AA spot checks.</t>
  </si>
  <si>
    <t xml:space="preserve">In scope</t>
  </si>
  <si>
    <t xml:space="preserve">Dashboard, Organizations, People, Consultation Requests, Tasks, global navigation, page level accessibility.</t>
  </si>
  <si>
    <t xml:space="preserve">Out of scope</t>
  </si>
  <si>
    <t xml:space="preserve">Create, edit, delete and import operations. Authentication and access control. Analytics, Reports, Calendar, Deliverables and Team. Write operations were excluded to keep the pass non destructive.</t>
  </si>
  <si>
    <t xml:space="preserve">Method</t>
  </si>
  <si>
    <t xml:space="preserve">Cases executed manually in browser. Timings read from the browser Navigation Timing and Resource Timing APIs rather than measured by stopwatch. Accessibility checks run against the live DOM covering landmarks, heading order, accessible names, form labelling and document title, then mapped to WCAG 2.1 success criteria.</t>
  </si>
  <si>
    <t xml:space="preserve">RESULT SUMMARY</t>
  </si>
  <si>
    <t xml:space="preserve">Test cases designed</t>
  </si>
  <si>
    <t xml:space="preserve">Executed</t>
  </si>
  <si>
    <t xml:space="preserve">Passed</t>
  </si>
  <si>
    <t xml:space="preserve">Failed</t>
  </si>
  <si>
    <t xml:space="preserve">Not run</t>
  </si>
  <si>
    <t xml:space="preserve">Defects raised</t>
  </si>
  <si>
    <t xml:space="preserve">Defects open</t>
  </si>
  <si>
    <t xml:space="preserve">Closed, not a defect</t>
  </si>
  <si>
    <t xml:space="preserve">TESTER NOTE</t>
  </si>
  <si>
    <t xml:space="preserve">DEF-005</t>
  </si>
  <si>
    <t xml:space="preserve">On the first execution pass the Organizations list appeared never to render. The data request returned 200 in 2.31 seconds, yet the view still showed a loading state 139 seconds later with zero rows. It was raised as Critical.
On re-test it did not reproduce in a normal session. Root cause sat in the test environment rather than the product: the session was driving a background browser tab, where document.visibilityState reported hidden and the browser throttles the timers the render path depends on. The defect was closed as not a defect and the affected cases were re-run and passed.
It is kept in this report deliberately. A finding that does not reproduce under normal conditions is not a finding, and the reasoning behind closing one belongs in the record.</t>
  </si>
  <si>
    <t xml:space="preserve">SEVERITY DEFINITIONS</t>
  </si>
  <si>
    <t xml:space="preserve">Critical</t>
  </si>
  <si>
    <t xml:space="preserve">Core function unusable and no workaround exists. Blocks release.</t>
  </si>
  <si>
    <t xml:space="preserve">Major</t>
  </si>
  <si>
    <t xml:space="preserve">Function behaves incorrectly, or a documented standard is not met. A workaround exists.</t>
  </si>
  <si>
    <t xml:space="preserve">Minor</t>
  </si>
  <si>
    <t xml:space="preserve">Cosmetic or consistency issue. Does not block the user from completing a task.</t>
  </si>
  <si>
    <t xml:space="preserve">Execution Summary</t>
  </si>
  <si>
    <t xml:space="preserve">Counts are formulas over the Test Cases sheet and update if that sheet changes.</t>
  </si>
  <si>
    <t xml:space="preserve">Module</t>
  </si>
  <si>
    <t xml:space="preserve">Designed</t>
  </si>
  <si>
    <t xml:space="preserve">Pass</t>
  </si>
  <si>
    <t xml:space="preserve">Fail</t>
  </si>
  <si>
    <t xml:space="preserve">Not Run</t>
  </si>
  <si>
    <t xml:space="preserve">Executed %</t>
  </si>
  <si>
    <t xml:space="preserve">Dashboard</t>
  </si>
  <si>
    <t xml:space="preserve">Organizations</t>
  </si>
  <si>
    <t xml:space="preserve">People</t>
  </si>
  <si>
    <t xml:space="preserve">Consultation Requests</t>
  </si>
  <si>
    <t xml:space="preserve">Tasks</t>
  </si>
  <si>
    <t xml:space="preserve">Navigation</t>
  </si>
  <si>
    <t xml:space="preserve">Accessibility</t>
  </si>
  <si>
    <t xml:space="preserve">Cross-module</t>
  </si>
  <si>
    <t xml:space="preserve">Total</t>
  </si>
  <si>
    <t xml:space="preserve">Overall status</t>
  </si>
  <si>
    <t xml:space="preserve">Defects by severity</t>
  </si>
  <si>
    <t xml:space="preserve">Closed</t>
  </si>
  <si>
    <t xml:space="preserve">Note</t>
  </si>
  <si>
    <t xml:space="preserve">Not run covers create, edit and import flows deliberately excluded from this cycle to keep testing non destructive, plus Organizations filter and search cases deferred to cycle 2. All are designed and ready to run. Chart segments carry value labels so status is never conveyed by colour alone.</t>
  </si>
  <si>
    <t xml:space="preserve">Test Cases, Cycle 1</t>
  </si>
  <si>
    <t xml:space="preserve">Test ID</t>
  </si>
  <si>
    <t xml:space="preserve">Test case</t>
  </si>
  <si>
    <t xml:space="preserve">Preconditions</t>
  </si>
  <si>
    <t xml:space="preserve">Steps</t>
  </si>
  <si>
    <t xml:space="preserve">Expected result</t>
  </si>
  <si>
    <t xml:space="preserve">Actual result</t>
  </si>
  <si>
    <t xml:space="preserve">Severity</t>
  </si>
  <si>
    <t xml:space="preserve">Defect ref</t>
  </si>
  <si>
    <t xml:space="preserve">TC-DSH-001</t>
  </si>
  <si>
    <t xml:space="preserve">Dashboard renders all metric cards</t>
  </si>
  <si>
    <t xml:space="preserve">Signed in</t>
  </si>
  <si>
    <t xml:space="preserve">1. Navigate to /dashboard
2. Wait for the page to finish loading
3. Count the metric cards and read each caption</t>
  </si>
  <si>
    <t xml:space="preserve">Six metric cards render, each with a count and a caption</t>
  </si>
  <si>
    <t xml:space="preserve">All six rendered with counts and captions within 5 seconds</t>
  </si>
  <si>
    <t xml:space="preserve">TC-DSH-002</t>
  </si>
  <si>
    <t xml:space="preserve">Upcoming meetings panel lists scheduled meetings</t>
  </si>
  <si>
    <t xml:space="preserve">At least one future meeting exists</t>
  </si>
  <si>
    <t xml:space="preserve">1. Navigate to /dashboard
2. Inspect the Upcoming meetings panel</t>
  </si>
  <si>
    <t xml:space="preserve">Each row shows a meeting title and a date and time</t>
  </si>
  <si>
    <t xml:space="preserve">Three meetings listed, each with a title and a date and time</t>
  </si>
  <si>
    <t xml:space="preserve">TC-DSH-003</t>
  </si>
  <si>
    <t xml:space="preserve">Active opportunities empty state displays</t>
  </si>
  <si>
    <t xml:space="preserve">No opportunities in the active stage</t>
  </si>
  <si>
    <t xml:space="preserve">1. Navigate to /dashboard
2. Inspect the Active opportunities panel</t>
  </si>
  <si>
    <t xml:space="preserve">An explicit message explains why the panel is empty</t>
  </si>
  <si>
    <t xml:space="preserve">Message reads: No active opportunities. Work in the active stage will appear here.</t>
  </si>
  <si>
    <t xml:space="preserve">TC-DSH-004</t>
  </si>
  <si>
    <t xml:space="preserve">Metric cards navigate to their filtered list</t>
  </si>
  <si>
    <t xml:space="preserve">1. Navigate to /dashboard
2. Click a metric card
3. Observe the destination and its filter state</t>
  </si>
  <si>
    <t xml:space="preserve">Navigates to the matching list with the filter already applied</t>
  </si>
  <si>
    <t xml:space="preserve">Deferred to cycle 2</t>
  </si>
  <si>
    <t xml:space="preserve">TC-ORG-001</t>
  </si>
  <si>
    <t xml:space="preserve">List renders organization records</t>
  </si>
  <si>
    <t xml:space="preserve">Organization records exist</t>
  </si>
  <si>
    <t xml:space="preserve">1. Navigate to /organizations
2. Wait for the list to render
3. Inspect the column headers and row content</t>
  </si>
  <si>
    <t xml:space="preserve">Records render with Organization, Stage, Owner, Alignment, Risk, Last activity and Next action columns</t>
  </si>
  <si>
    <t xml:space="preserve">Ten or more records rendered with all seven columns populated. See DEF-005 for the first pass result and why it was closed</t>
  </si>
  <si>
    <t xml:space="preserve">TC-ORG-002</t>
  </si>
  <si>
    <t xml:space="preserve">Stage tabs filter the result set</t>
  </si>
  <si>
    <t xml:space="preserve">Records exist across several stages</t>
  </si>
  <si>
    <t xml:space="preserve">1. Navigate to /organizations
2. Click each tab in turn: All, Prospects, In progress, Active, Closed, Archived
3. Observe the result set after each click</t>
  </si>
  <si>
    <t xml:space="preserve">Each tab narrows the list to that stage and becomes the selected tab</t>
  </si>
  <si>
    <t xml:space="preserve">TC-ORG-003</t>
  </si>
  <si>
    <t xml:space="preserve">Search narrows the organization list</t>
  </si>
  <si>
    <t xml:space="preserve">Records exist</t>
  </si>
  <si>
    <t xml:space="preserve">1. Navigate to /organizations
2. Enter a known organization name in the Search organizations field
3. Observe the results</t>
  </si>
  <si>
    <t xml:space="preserve">Only records matching the search term remain listed</t>
  </si>
  <si>
    <t xml:space="preserve">TC-ORG-004</t>
  </si>
  <si>
    <t xml:space="preserve">Owner, Alignment and Risk filters apply</t>
  </si>
  <si>
    <t xml:space="preserve">1. Navigate to /organizations
2. Apply the Owner filter and observe the results
3. Clear it, then repeat for Alignment and for Risk</t>
  </si>
  <si>
    <t xml:space="preserve">Each filter narrows the list to matching records</t>
  </si>
  <si>
    <t xml:space="preserve">TC-ORG-005</t>
  </si>
  <si>
    <t xml:space="preserve">Add organization opens the create form</t>
  </si>
  <si>
    <t xml:space="preserve">User holds create permission</t>
  </si>
  <si>
    <t xml:space="preserve">1. Navigate to /organizations
2. Click Add organization</t>
  </si>
  <si>
    <t xml:space="preserve">The create form opens with required fields marked</t>
  </si>
  <si>
    <t xml:space="preserve">Not executed. Write operations were excluded from scope</t>
  </si>
  <si>
    <t xml:space="preserve">TC-ORG-006</t>
  </si>
  <si>
    <t xml:space="preserve">Organization data request completes within 5 seconds</t>
  </si>
  <si>
    <t xml:space="preserve">1. Navigate to /organizations
2. Read the Resource Timing entry for the organizations data request
3. Record the status code and responseEnd</t>
  </si>
  <si>
    <t xml:space="preserve">The request returns 200 within 5 seconds of navigation start</t>
  </si>
  <si>
    <t xml:space="preserve">200 returned. responseEnd 2.31 seconds on the first run and 3.81 seconds on re-test</t>
  </si>
  <si>
    <t xml:space="preserve">TC-PPL-001</t>
  </si>
  <si>
    <t xml:space="preserve">List loads and renders within 5 seconds</t>
  </si>
  <si>
    <t xml:space="preserve">1. Navigate to /people
2. Wait for the page to finish loading</t>
  </si>
  <si>
    <t xml:space="preserve">The list view renders its content within 5 seconds</t>
  </si>
  <si>
    <t xml:space="preserve">Rendered within 5 seconds with header, filters and result area</t>
  </si>
  <si>
    <t xml:space="preserve">TC-PPL-002</t>
  </si>
  <si>
    <t xml:space="preserve">Empty state displays when no records match</t>
  </si>
  <si>
    <t xml:space="preserve">A filter set that returns no records</t>
  </si>
  <si>
    <t xml:space="preserve">1. Navigate to /people
2. Observe the result area</t>
  </si>
  <si>
    <t xml:space="preserve">An explicit empty state message displays</t>
  </si>
  <si>
    <t xml:space="preserve">Message reads: No people match these filters</t>
  </si>
  <si>
    <t xml:space="preserve">TC-PPL-003</t>
  </si>
  <si>
    <t xml:space="preserve">Filter controls render</t>
  </si>
  <si>
    <t xml:space="preserve">1. Navigate to /people
2. Inspect the filter row</t>
  </si>
  <si>
    <t xml:space="preserve">Organization and Status filters render and respond to interaction</t>
  </si>
  <si>
    <t xml:space="preserve">Both rendered, alongside Show archived, Import and New contact</t>
  </si>
  <si>
    <t xml:space="preserve">TC-CR-001</t>
  </si>
  <si>
    <t xml:space="preserve">List renders request records</t>
  </si>
  <si>
    <t xml:space="preserve">At least one request exists</t>
  </si>
  <si>
    <t xml:space="preserve">1. Navigate to /consultation-requests
2. Wait for the page to finish loading</t>
  </si>
  <si>
    <t xml:space="preserve">Request records render within 5 seconds</t>
  </si>
  <si>
    <t xml:space="preserve">Records rendered within 5 seconds</t>
  </si>
  <si>
    <t xml:space="preserve">TC-CR-002</t>
  </si>
  <si>
    <t xml:space="preserve">Request row shows stage, priority, owner and date</t>
  </si>
  <si>
    <t xml:space="preserve">1. Navigate to /consultation-requests
2. Inspect a request row</t>
  </si>
  <si>
    <t xml:space="preserve">Stage, priority, owner and submission date all display</t>
  </si>
  <si>
    <t xml:space="preserve">All four fields present and populated</t>
  </si>
  <si>
    <t xml:space="preserve">TC-CR-003</t>
  </si>
  <si>
    <t xml:space="preserve">Relative and absolute dates agree</t>
  </si>
  <si>
    <t xml:space="preserve">A request older than one week exists</t>
  </si>
  <si>
    <t xml:space="preserve">1. Navigate to /consultation-requests
2. Read the relative age label on a request row
3. Read the absolute date beside it
4. Compare both against the system date</t>
  </si>
  <si>
    <t xml:space="preserve">The relative age matches the absolute date</t>
  </si>
  <si>
    <t xml:space="preserve">Label read 13 days ago against an absolute date of Aug 24 2026, with a system date of Sep 6 2026. Consistent</t>
  </si>
  <si>
    <t xml:space="preserve">TC-TSK-001</t>
  </si>
  <si>
    <t xml:space="preserve">All task views render</t>
  </si>
  <si>
    <t xml:space="preserve">1. Navigate to /tasks
2. Inspect the view tabs</t>
  </si>
  <si>
    <t xml:space="preserve">My Tasks, All Accessible, Overdue, Blocked, Review and Completed all render</t>
  </si>
  <si>
    <t xml:space="preserve">All six views rendered</t>
  </si>
  <si>
    <t xml:space="preserve">TC-TSK-002</t>
  </si>
  <si>
    <t xml:space="preserve">Empty state displays when a view has no tasks</t>
  </si>
  <si>
    <t xml:space="preserve">A view with no matching tasks</t>
  </si>
  <si>
    <t xml:space="preserve">1. Navigate to /tasks
2. Open My Tasks with no assigned tasks
3. Observe the result area</t>
  </si>
  <si>
    <t xml:space="preserve">Message reads: No tasks here. Nothing matches this view right now. Shown with an icon</t>
  </si>
  <si>
    <t xml:space="preserve">TC-NAV-001</t>
  </si>
  <si>
    <t xml:space="preserve">All sidebar destinations are reachable</t>
  </si>
  <si>
    <t xml:space="preserve">1. Open each sidebar destination in turn
2. Confirm each loads its own view without error</t>
  </si>
  <si>
    <t xml:space="preserve">Each destination loads its own view without error</t>
  </si>
  <si>
    <t xml:space="preserve">All destinations tested loaded their own view</t>
  </si>
  <si>
    <t xml:space="preserve">TC-NAV-002</t>
  </si>
  <si>
    <t xml:space="preserve">Direct URL entry preserves the session</t>
  </si>
  <si>
    <t xml:space="preserve">1. Enter a module URL directly in the address bar
2. Observe whether the module loads or prompts for sign in</t>
  </si>
  <si>
    <t xml:space="preserve">The module loads without forcing re-authentication</t>
  </si>
  <si>
    <t xml:space="preserve">Session intact on every direct navigation</t>
  </si>
  <si>
    <t xml:space="preserve">TC-NAV-003</t>
  </si>
  <si>
    <t xml:space="preserve">Browser tab title reflects the current page</t>
  </si>
  <si>
    <t xml:space="preserve">1. Visit /dashboard and read document.title
2. Visit /people and read document.title
3. Visit /tasks and read document.title
4. Visit /consultation-requests and read document.title
5. Compare the four values</t>
  </si>
  <si>
    <t xml:space="preserve">Each route sets a title naming that page</t>
  </si>
  <si>
    <t xml:space="preserve">All four routes report the identical title: ECL Operations Hub</t>
  </si>
  <si>
    <t xml:space="preserve">DEF-001</t>
  </si>
  <si>
    <t xml:space="preserve">TC-A11Y-001</t>
  </si>
  <si>
    <t xml:space="preserve">Page structure meets baseline requirements</t>
  </si>
  <si>
    <t xml:space="preserve">1. Load a module page
2. Read the lang attribute on the html element
3. Count h1 elements
4. Check for main, nav and header landmarks
5. Check every button for an accessible name
6. Check every image for an alt attribute
7. Check every form control for an associated label</t>
  </si>
  <si>
    <t xml:space="preserve">lang is set, exactly one h1 exists, main, nav and header landmarks are present, and every control is named and labelled</t>
  </si>
  <si>
    <t xml:space="preserve">lang is en. One h1. Main, nav and header all present. 11 of 11 buttons named. 1 of 1 image has alt. 1 of 1 form control labelled</t>
  </si>
  <si>
    <t xml:space="preserve">TC-A11Y-002</t>
  </si>
  <si>
    <t xml:space="preserve">Heading order is logical</t>
  </si>
  <si>
    <t xml:space="preserve">1. Load a module page
2. List all headings in DOM order
3. Repeat on three further routes</t>
  </si>
  <si>
    <t xml:space="preserve">The h1 precedes any h2 on the page</t>
  </si>
  <si>
    <t xml:space="preserve">An h2 labelled Search precedes the h1 on every one of the four pages checked</t>
  </si>
  <si>
    <t xml:space="preserve">DEF-002</t>
  </si>
  <si>
    <t xml:space="preserve">TC-A11Y-003</t>
  </si>
  <si>
    <t xml:space="preserve">Keyboard users can bypass repeated navigation</t>
  </si>
  <si>
    <t xml:space="preserve">1. Load any page
2. Inspect the document for a skip link
3. Tab from the top of the page and count stops before main content</t>
  </si>
  <si>
    <t xml:space="preserve">A skip link or equivalent lets a keyboard user reach main content directly</t>
  </si>
  <si>
    <t xml:space="preserve">No skip link present. Landmarks are in place, which helps screen reader users, but a sighted keyboard user tabs the full sidebar on every page load</t>
  </si>
  <si>
    <t xml:space="preserve">DEF-003</t>
  </si>
  <si>
    <t xml:space="preserve">TC-A11Y-004</t>
  </si>
  <si>
    <t xml:space="preserve">Console is free of errors during navigation</t>
  </si>
  <si>
    <t xml:space="preserve">1. Open the browser console
2. Navigate across modules
3. Read the console output</t>
  </si>
  <si>
    <t xml:space="preserve">No uncaught errors or warnings are logged</t>
  </si>
  <si>
    <t xml:space="preserve">No console errors or warnings captured</t>
  </si>
  <si>
    <t xml:space="preserve">TC-UI-001</t>
  </si>
  <si>
    <t xml:space="preserve">Empty state treatment is consistent across list modules</t>
  </si>
  <si>
    <t xml:space="preserve">A module view with no records</t>
  </si>
  <si>
    <t xml:space="preserve">1. Open /tasks on a view with no tasks and record the empty state
2. Open /people with a filter set that returns nothing and record the empty state
3. Compare the two treatments</t>
  </si>
  <si>
    <t xml:space="preserve">The same empty state pattern is used in every list module</t>
  </si>
  <si>
    <t xml:space="preserve">Tasks uses an icon plus a heading plus an explanatory line. People uses a single line of text with no icon and no heading</t>
  </si>
  <si>
    <t xml:space="preserve">DEF-004</t>
  </si>
  <si>
    <t xml:space="preserve">Defect Log, Cycle 1</t>
  </si>
  <si>
    <t xml:space="preserve">Defect ID</t>
  </si>
  <si>
    <t xml:space="preserve">Summary</t>
  </si>
  <si>
    <t xml:space="preserve">Priority</t>
  </si>
  <si>
    <t xml:space="preserve">Steps to reproduce</t>
  </si>
  <si>
    <t xml:space="preserve">Standard and evidence</t>
  </si>
  <si>
    <t xml:space="preserve">Browser tab title is identical on every route</t>
  </si>
  <si>
    <t xml:space="preserve">Medium</t>
  </si>
  <si>
    <t xml:space="preserve">1. Sign in
2. Visit /dashboard and read the browser tab title
3. Visit /people and read the browser tab title
4. Visit /tasks and read the browser tab title
5. Visit /consultation-requests and read the browser tab title
6. Compare the four titles</t>
  </si>
  <si>
    <t xml:space="preserve">Each route sets a title naming the current page, for example: Tasks, ECL Operations Hub</t>
  </si>
  <si>
    <t xml:space="preserve">All four routes report the identical title: ECL Operations Hub. A user with several tabs open cannot tell them apart, browser history and bookmarks are indistinguishable, and screen readers announce no page change on navigation</t>
  </si>
  <si>
    <t xml:space="preserve">WCAG 2.1 SC 2.4.2 Page Titled, Level A. Verified on 4 routes</t>
  </si>
  <si>
    <t xml:space="preserve">Open</t>
  </si>
  <si>
    <t xml:space="preserve">An h2 precedes the h1 in DOM order on every page</t>
  </si>
  <si>
    <t xml:space="preserve">Low</t>
  </si>
  <si>
    <t xml:space="preserve">1. Load any module page
2. List all headings in DOM order
3. Repeat on three further routes
4. Compare the heading order across all four</t>
  </si>
  <si>
    <t xml:space="preserve">The h1 naming the page comes before any subordinate heading</t>
  </si>
  <si>
    <t xml:space="preserve">The search region h2 labelled Search is emitted before the page h1 on /dashboard, /people, /tasks and /consultation-requests. A screen reader user navigating by heading meets a sub heading before learning what page they are on</t>
  </si>
  <si>
    <t xml:space="preserve">WCAG 2.1 SC 1.3.1 Info and Relationships. Verified on 4 routes</t>
  </si>
  <si>
    <t xml:space="preserve">No skip link to bypass the sidebar navigation</t>
  </si>
  <si>
    <t xml:space="preserve">1. Load any page
2. Inspect the document for a skip link
3. Place focus at the top of the page
4. Tab forward and count the stops before main content</t>
  </si>
  <si>
    <t xml:space="preserve">A skip link lets a keyboard user jump past the repeated navigation to main content</t>
  </si>
  <si>
    <t xml:space="preserve">No skip link present. The sidebar carries 12 destinations, so a sighted keyboard user tabs through all of them on every page load. Landmark elements are correctly in place, which mitigates this for screen reader users but not for keyboard only users</t>
  </si>
  <si>
    <t xml:space="preserve">WCAG 2.1 SC 2.4.1 Bypass Blocks, Level A</t>
  </si>
  <si>
    <t xml:space="preserve">Empty state treatment is inconsistent between list modules</t>
  </si>
  <si>
    <t xml:space="preserve">1. Open /tasks on a view with no tasks
2. Record the empty state treatment
3. Open /people with a filter set that returns nothing
4. Record the empty state treatment
5. Compare the two</t>
  </si>
  <si>
    <t xml:space="preserve">One consistent empty state pattern across all list modules</t>
  </si>
  <si>
    <t xml:space="preserve">Tasks shows an icon, a heading and an explanatory line. People shows a single line of text with no icon and no heading. Two different treatments of the same state in adjacent modules</t>
  </si>
  <si>
    <t xml:space="preserve">Observed on 2 modules</t>
  </si>
  <si>
    <t xml:space="preserve">Organizations list did not render. Raised Critical, closed as a test environment artifact</t>
  </si>
  <si>
    <t xml:space="preserve">High</t>
  </si>
  <si>
    <t xml:space="preserve">1. Load /organizations in an automated session
2. Wait without interacting with the page
3. Count rendered rows at 35 seconds
4. Count rendered rows at 100 seconds
5. Count rendered rows at 140 seconds</t>
  </si>
  <si>
    <t xml:space="preserve">Organization records render shortly after the data request completes</t>
  </si>
  <si>
    <t xml:space="preserve">First pass: zero rows at 35, 102 and 139 seconds while the view reported a loading state, although the data request had returned 200 at 2.31 seconds. Re-test in a normal foreground session: the list rendered correctly with all records and columns. Root cause sat in the test environment, not the product. The automated session drove a background tab where document.visibilityState reported hidden and the browser throttles the timers the render path depends on. Not reproducible under normal use</t>
  </si>
  <si>
    <t xml:space="preserve">document.visibilityState hidden and document.hasFocus false during the failing runs. Foreground re-test passed, see TC-ORG-001</t>
  </si>
</sst>
</file>

<file path=xl/styles.xml><?xml version="1.0" encoding="utf-8"?>
<styleSheet xmlns="http://schemas.openxmlformats.org/spreadsheetml/2006/main">
  <numFmts count="3">
    <numFmt numFmtId="164" formatCode="General"/>
    <numFmt numFmtId="165" formatCode="General"/>
    <numFmt numFmtId="166" formatCode="0%"/>
  </numFmts>
  <fonts count="18">
    <font>
      <sz val="11"/>
      <color theme="1"/>
      <name val="Calibri"/>
      <family val="2"/>
      <charset val="1"/>
    </font>
    <font>
      <sz val="10"/>
      <name val="Arial"/>
      <family val="0"/>
    </font>
    <font>
      <sz val="10"/>
      <name val="Arial"/>
      <family val="0"/>
    </font>
    <font>
      <sz val="10"/>
      <name val="Arial"/>
      <family val="0"/>
    </font>
    <font>
      <b val="true"/>
      <sz val="11"/>
      <color rgb="FF1C7C54"/>
      <name val="Arial"/>
      <family val="0"/>
      <charset val="1"/>
    </font>
    <font>
      <b val="true"/>
      <sz val="18"/>
      <color rgb="FF1F3A34"/>
      <name val="Arial"/>
      <family val="0"/>
      <charset val="1"/>
    </font>
    <font>
      <sz val="10.5"/>
      <color rgb="FF5C6B64"/>
      <name val="Arial"/>
      <family val="0"/>
      <charset val="1"/>
    </font>
    <font>
      <b val="true"/>
      <sz val="11"/>
      <color rgb="FF1F3A34"/>
      <name val="Arial"/>
      <family val="0"/>
      <charset val="1"/>
    </font>
    <font>
      <b val="true"/>
      <sz val="10"/>
      <color rgb="FF16211D"/>
      <name val="Arial"/>
      <family val="0"/>
      <charset val="1"/>
    </font>
    <font>
      <sz val="10"/>
      <color rgb="FF16211D"/>
      <name val="Arial"/>
      <family val="0"/>
      <charset val="1"/>
    </font>
    <font>
      <b val="true"/>
      <sz val="11"/>
      <color rgb="FFE0561B"/>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C7C54"/>
      <name val="Arial"/>
      <family val="0"/>
      <charset val="1"/>
    </font>
    <font>
      <b val="true"/>
      <sz val="10"/>
      <color rgb="FF5C6B64"/>
      <name val="Arial"/>
      <family val="0"/>
      <charset val="1"/>
    </font>
    <font>
      <b val="true"/>
      <sz val="10"/>
      <color rgb="FFE0561B"/>
      <name val="Arial"/>
      <family val="0"/>
      <charset val="1"/>
    </font>
  </fonts>
  <fills count="8">
    <fill>
      <patternFill patternType="none"/>
    </fill>
    <fill>
      <patternFill patternType="gray125"/>
    </fill>
    <fill>
      <patternFill patternType="solid">
        <fgColor rgb="FF1F3A34"/>
        <bgColor rgb="FF333300"/>
      </patternFill>
    </fill>
    <fill>
      <patternFill patternType="solid">
        <fgColor rgb="FFF4F7F5"/>
        <bgColor rgb="FFECEFED"/>
      </patternFill>
    </fill>
    <fill>
      <patternFill patternType="solid">
        <fgColor rgb="FFDFEFE6"/>
        <bgColor rgb="FFE3E8F0"/>
      </patternFill>
    </fill>
    <fill>
      <patternFill patternType="solid">
        <fgColor rgb="FFECEFED"/>
        <bgColor rgb="FFE3E8F0"/>
      </patternFill>
    </fill>
    <fill>
      <patternFill patternType="solid">
        <fgColor rgb="FFFBE4D6"/>
        <bgColor rgb="FFECEFED"/>
      </patternFill>
    </fill>
    <fill>
      <patternFill patternType="solid">
        <fgColor rgb="FFE3E8F0"/>
        <bgColor rgb="FFDFEFE6"/>
      </patternFill>
    </fill>
  </fills>
  <borders count="4">
    <border diagonalUp="false" diagonalDown="false">
      <left/>
      <right/>
      <top/>
      <bottom/>
      <diagonal/>
    </border>
    <border diagonalUp="false" diagonalDown="false">
      <left/>
      <right/>
      <top/>
      <bottom style="medium">
        <color rgb="FF1F3A34"/>
      </bottom>
      <diagonal/>
    </border>
    <border diagonalUp="false" diagonalDown="false">
      <left style="thin">
        <color rgb="FFC9D4CE"/>
      </left>
      <right style="thin">
        <color rgb="FFC9D4CE"/>
      </right>
      <top style="thin">
        <color rgb="FFC9D4CE"/>
      </top>
      <bottom style="thin">
        <color rgb="FFC9D4CE"/>
      </bottom>
      <diagonal/>
    </border>
    <border diagonalUp="false" diagonalDown="false">
      <left style="thin">
        <color rgb="FFC9D4CE"/>
      </left>
      <right style="thin">
        <color rgb="FFC9D4CE"/>
      </right>
      <top style="medium">
        <color rgb="FF1F3A34"/>
      </top>
      <bottom style="thin">
        <color rgb="FFC9D4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5" fontId="9" fillId="3" borderId="2" xfId="0" applyFont="true" applyBorder="true" applyAlignment="true" applyProtection="false">
      <alignment horizontal="center" vertical="center" textRotation="0" wrapText="false" indent="0" shrinkToFit="false"/>
      <protection locked="true" hidden="false"/>
    </xf>
    <xf numFmtId="166" fontId="9" fillId="3" borderId="2"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5" fontId="8" fillId="0" borderId="3" xfId="0" applyFont="true" applyBorder="true" applyAlignment="true" applyProtection="false">
      <alignment horizontal="center" vertical="center" textRotation="0" wrapText="false" indent="0" shrinkToFit="false"/>
      <protection locked="true" hidden="false"/>
    </xf>
    <xf numFmtId="166" fontId="8" fillId="0" borderId="3" xfId="0" applyFont="true" applyBorder="true" applyAlignment="true" applyProtection="false">
      <alignment horizontal="center"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general" vertical="top" textRotation="0" wrapText="fals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16" fillId="5" borderId="2"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34"/>
          <bgColor rgb="FF000000"/>
        </patternFill>
      </fill>
    </dxf>
    <dxf>
      <fill>
        <patternFill patternType="solid">
          <fgColor rgb="FFF4F7F5"/>
          <bgColor rgb="FF000000"/>
        </patternFill>
      </fill>
    </dxf>
    <dxf>
      <fill>
        <patternFill patternType="solid">
          <bgColor rgb="FF000000"/>
        </patternFill>
      </fill>
    </dxf>
    <dxf>
      <fill>
        <patternFill patternType="solid">
          <fgColor rgb="FF16211D"/>
          <bgColor rgb="FF000000"/>
        </patternFill>
      </fill>
    </dxf>
    <dxf>
      <fill>
        <patternFill patternType="solid">
          <fgColor rgb="FFFFFFFF"/>
          <bgColor rgb="FF000000"/>
        </patternFill>
      </fill>
    </dxf>
    <dxf>
      <fill>
        <patternFill patternType="solid">
          <fgColor rgb="FFDFEFE6"/>
          <bgColor rgb="FF000000"/>
        </patternFill>
      </fill>
    </dxf>
    <dxf>
      <fill>
        <patternFill patternType="solid">
          <fgColor rgb="FFECEFED"/>
          <bgColor rgb="FF000000"/>
        </patternFill>
      </fill>
    </dxf>
    <dxf>
      <fill>
        <patternFill patternType="solid">
          <fgColor rgb="FFFBE4D6"/>
          <bgColor rgb="FF000000"/>
        </patternFill>
      </fill>
    </dxf>
    <dxf>
      <fill>
        <patternFill patternType="solid">
          <fgColor rgb="FF1C7C54"/>
          <bgColor rgb="FF000000"/>
        </patternFill>
      </fill>
    </dxf>
    <dxf>
      <fill>
        <patternFill patternType="solid">
          <fgColor rgb="FF5C6B64"/>
          <bgColor rgb="FF000000"/>
        </patternFill>
      </fill>
    </dxf>
    <dxf>
      <fill>
        <patternFill patternType="solid">
          <fgColor rgb="FFE0561B"/>
          <bgColor rgb="FF000000"/>
        </patternFill>
      </fill>
    </dxf>
    <dxf>
      <fill>
        <patternFill patternType="solid">
          <fgColor rgb="FFE3E8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C6B64"/>
      <rgbColor rgb="FF800080"/>
      <rgbColor rgb="FF1C7C54"/>
      <rgbColor rgb="FFC9D4CE"/>
      <rgbColor rgb="FF878787"/>
      <rgbColor rgb="FF9999FF"/>
      <rgbColor rgb="FF993366"/>
      <rgbColor rgb="FFF4F7F5"/>
      <rgbColor rgb="FFDFEFE6"/>
      <rgbColor rgb="FF660066"/>
      <rgbColor rgb="FFE8A06A"/>
      <rgbColor rgb="FF0066CC"/>
      <rgbColor rgb="FFD9D9D9"/>
      <rgbColor rgb="FF000080"/>
      <rgbColor rgb="FFFF00FF"/>
      <rgbColor rgb="FFFFFF00"/>
      <rgbColor rgb="FF00FFFF"/>
      <rgbColor rgb="FF800080"/>
      <rgbColor rgb="FF800000"/>
      <rgbColor rgb="FF008080"/>
      <rgbColor rgb="FF0000FF"/>
      <rgbColor rgb="FF00CCFF"/>
      <rgbColor rgb="FFECEFED"/>
      <rgbColor rgb="FFE3E8F0"/>
      <rgbColor rgb="FFFFFF99"/>
      <rgbColor rgb="FF99CCFF"/>
      <rgbColor rgb="FFFF99CC"/>
      <rgbColor rgb="FFCC99FF"/>
      <rgbColor rgb="FFFBE4D6"/>
      <rgbColor rgb="FF4F81BD"/>
      <rgbColor rgb="FF33CCCC"/>
      <rgbColor rgb="FF99CC00"/>
      <rgbColor rgb="FFFFCC00"/>
      <rgbColor rgb="FFFF9900"/>
      <rgbColor rgb="FFE0561B"/>
      <rgbColor rgb="FF66736E"/>
      <rgbColor rgb="FF969696"/>
      <rgbColor rgb="FF003366"/>
      <rgbColor rgb="FF4F6F63"/>
      <rgbColor rgb="FF16211D"/>
      <rgbColor rgb="FF333300"/>
      <rgbColor rgb="FF993300"/>
      <rgbColor rgb="FF993366"/>
      <rgbColor rgb="FF333399"/>
      <rgbColor rgb="FF1F3A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Test result by module</a:t>
            </a:r>
          </a:p>
        </c:rich>
      </c:tx>
      <c:overlay val="0"/>
      <c:spPr>
        <a:noFill/>
        <a:ln w="0">
          <a:noFill/>
        </a:ln>
      </c:spPr>
    </c:title>
    <c:autoTitleDeleted val="0"/>
    <c:plotArea>
      <c:barChart>
        <c:barDir val="col"/>
        <c:grouping val="stacked"/>
        <c:varyColors val="0"/>
        <c:ser>
          <c:idx val="0"/>
          <c:order val="0"/>
          <c:tx>
            <c:strRef>
              <c:f>Summary!D5</c:f>
              <c:strCache>
                <c:ptCount val="1"/>
                <c:pt idx="0">
                  <c:v>Pass</c:v>
                </c:pt>
              </c:strCache>
            </c:strRef>
          </c:tx>
          <c:spPr>
            <a:solidFill>
              <a:srgbClr val="1c7c54"/>
            </a:solidFill>
            <a:ln w="19080">
              <a:solidFill>
                <a:srgbClr val="ffffff"/>
              </a:solidFill>
              <a:round/>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Summary!$B$6:$B$13</c:f>
              <c:strCache>
                <c:ptCount val="8"/>
                <c:pt idx="0">
                  <c:v>Dashboard</c:v>
                </c:pt>
                <c:pt idx="1">
                  <c:v>Organizations</c:v>
                </c:pt>
                <c:pt idx="2">
                  <c:v>People</c:v>
                </c:pt>
                <c:pt idx="3">
                  <c:v>Consultation Requests</c:v>
                </c:pt>
                <c:pt idx="4">
                  <c:v>Tasks</c:v>
                </c:pt>
                <c:pt idx="5">
                  <c:v>Navigation</c:v>
                </c:pt>
                <c:pt idx="6">
                  <c:v>Accessibility</c:v>
                </c:pt>
                <c:pt idx="7">
                  <c:v>Cross-module</c:v>
                </c:pt>
              </c:strCache>
            </c:strRef>
          </c:cat>
          <c:val>
            <c:numRef>
              <c:f>Summary!$D$6:$D$13</c:f>
              <c:numCache>
                <c:formatCode>General</c:formatCode>
                <c:ptCount val="8"/>
                <c:pt idx="0">
                  <c:v>3</c:v>
                </c:pt>
                <c:pt idx="1">
                  <c:v>2</c:v>
                </c:pt>
                <c:pt idx="2">
                  <c:v>3</c:v>
                </c:pt>
                <c:pt idx="3">
                  <c:v>3</c:v>
                </c:pt>
                <c:pt idx="4">
                  <c:v>2</c:v>
                </c:pt>
                <c:pt idx="5">
                  <c:v>2</c:v>
                </c:pt>
                <c:pt idx="6">
                  <c:v>2</c:v>
                </c:pt>
                <c:pt idx="7">
                  <c:v>0</c:v>
                </c:pt>
              </c:numCache>
            </c:numRef>
          </c:val>
        </c:ser>
        <c:ser>
          <c:idx val="1"/>
          <c:order val="1"/>
          <c:tx>
            <c:strRef>
              <c:f>Summary!E5</c:f>
              <c:strCache>
                <c:ptCount val="1"/>
                <c:pt idx="0">
                  <c:v>Fail</c:v>
                </c:pt>
              </c:strCache>
            </c:strRef>
          </c:tx>
          <c:spPr>
            <a:solidFill>
              <a:srgbClr val="e0561b"/>
            </a:solidFill>
            <a:ln w="19080">
              <a:solidFill>
                <a:srgbClr val="ffffff"/>
              </a:solidFill>
              <a:round/>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Summary!$B$6:$B$13</c:f>
              <c:strCache>
                <c:ptCount val="8"/>
                <c:pt idx="0">
                  <c:v>Dashboard</c:v>
                </c:pt>
                <c:pt idx="1">
                  <c:v>Organizations</c:v>
                </c:pt>
                <c:pt idx="2">
                  <c:v>People</c:v>
                </c:pt>
                <c:pt idx="3">
                  <c:v>Consultation Requests</c:v>
                </c:pt>
                <c:pt idx="4">
                  <c:v>Tasks</c:v>
                </c:pt>
                <c:pt idx="5">
                  <c:v>Navigation</c:v>
                </c:pt>
                <c:pt idx="6">
                  <c:v>Accessibility</c:v>
                </c:pt>
                <c:pt idx="7">
                  <c:v>Cross-module</c:v>
                </c:pt>
              </c:strCache>
            </c:strRef>
          </c:cat>
          <c:val>
            <c:numRef>
              <c:f>Summary!$E$6:$E$13</c:f>
              <c:numCache>
                <c:formatCode>General</c:formatCode>
                <c:ptCount val="8"/>
                <c:pt idx="0">
                  <c:v>0</c:v>
                </c:pt>
                <c:pt idx="1">
                  <c:v>0</c:v>
                </c:pt>
                <c:pt idx="2">
                  <c:v>0</c:v>
                </c:pt>
                <c:pt idx="3">
                  <c:v>0</c:v>
                </c:pt>
                <c:pt idx="4">
                  <c:v>0</c:v>
                </c:pt>
                <c:pt idx="5">
                  <c:v>1</c:v>
                </c:pt>
                <c:pt idx="6">
                  <c:v>2</c:v>
                </c:pt>
                <c:pt idx="7">
                  <c:v>1</c:v>
                </c:pt>
              </c:numCache>
            </c:numRef>
          </c:val>
        </c:ser>
        <c:ser>
          <c:idx val="2"/>
          <c:order val="2"/>
          <c:tx>
            <c:strRef>
              <c:f>Summary!F5</c:f>
              <c:strCache>
                <c:ptCount val="1"/>
                <c:pt idx="0">
                  <c:v>Not Run</c:v>
                </c:pt>
              </c:strCache>
            </c:strRef>
          </c:tx>
          <c:spPr>
            <a:solidFill>
              <a:srgbClr val="66736e"/>
            </a:solidFill>
            <a:ln w="19080">
              <a:solidFill>
                <a:srgbClr val="ffffff"/>
              </a:solidFill>
              <a:round/>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Summary!$B$6:$B$13</c:f>
              <c:strCache>
                <c:ptCount val="8"/>
                <c:pt idx="0">
                  <c:v>Dashboard</c:v>
                </c:pt>
                <c:pt idx="1">
                  <c:v>Organizations</c:v>
                </c:pt>
                <c:pt idx="2">
                  <c:v>People</c:v>
                </c:pt>
                <c:pt idx="3">
                  <c:v>Consultation Requests</c:v>
                </c:pt>
                <c:pt idx="4">
                  <c:v>Tasks</c:v>
                </c:pt>
                <c:pt idx="5">
                  <c:v>Navigation</c:v>
                </c:pt>
                <c:pt idx="6">
                  <c:v>Accessibility</c:v>
                </c:pt>
                <c:pt idx="7">
                  <c:v>Cross-module</c:v>
                </c:pt>
              </c:strCache>
            </c:strRef>
          </c:cat>
          <c:val>
            <c:numRef>
              <c:f>Summary!$F$6:$F$13</c:f>
              <c:numCache>
                <c:formatCode>General</c:formatCode>
                <c:ptCount val="8"/>
                <c:pt idx="0">
                  <c:v>1</c:v>
                </c:pt>
                <c:pt idx="1">
                  <c:v>4</c:v>
                </c:pt>
                <c:pt idx="2">
                  <c:v>0</c:v>
                </c:pt>
                <c:pt idx="3">
                  <c:v>0</c:v>
                </c:pt>
                <c:pt idx="4">
                  <c:v>0</c:v>
                </c:pt>
                <c:pt idx="5">
                  <c:v>0</c:v>
                </c:pt>
                <c:pt idx="6">
                  <c:v>0</c:v>
                </c:pt>
                <c:pt idx="7">
                  <c:v>0</c:v>
                </c:pt>
              </c:numCache>
            </c:numRef>
          </c:val>
        </c:ser>
        <c:gapWidth val="150"/>
        <c:overlap val="100"/>
        <c:axId val="19989307"/>
        <c:axId val="93234568"/>
      </c:barChart>
      <c:catAx>
        <c:axId val="199893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234568"/>
        <c:crosses val="autoZero"/>
        <c:auto val="1"/>
        <c:lblAlgn val="ctr"/>
        <c:lblOffset val="100"/>
        <c:noMultiLvlLbl val="0"/>
      </c:catAx>
      <c:valAx>
        <c:axId val="93234568"/>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Test 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893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Overall status</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1c7c54"/>
              </a:solidFill>
              <a:ln w="19080">
                <a:solidFill>
                  <a:srgbClr val="ffffff"/>
                </a:solidFill>
                <a:round/>
              </a:ln>
            </c:spPr>
          </c:dPt>
          <c:dPt>
            <c:idx val="1"/>
            <c:spPr>
              <a:solidFill>
                <a:srgbClr val="e0561b"/>
              </a:solidFill>
              <a:ln w="19080">
                <a:solidFill>
                  <a:srgbClr val="ffffff"/>
                </a:solidFill>
                <a:round/>
              </a:ln>
            </c:spPr>
          </c:dPt>
          <c:dPt>
            <c:idx val="2"/>
            <c:spPr>
              <a:solidFill>
                <a:srgbClr val="66736e"/>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1"/>
            <c:showCatName val="0"/>
            <c:showSerName val="0"/>
            <c:showPercent val="0"/>
            <c:separator>; </c:separator>
            <c:showLeaderLines val="1"/>
          </c:dLbls>
          <c:cat>
            <c:strRef>
              <c:f>Summary!$B$17:$B$19</c:f>
              <c:strCache>
                <c:ptCount val="3"/>
                <c:pt idx="0">
                  <c:v>Pass</c:v>
                </c:pt>
                <c:pt idx="1">
                  <c:v>Fail</c:v>
                </c:pt>
                <c:pt idx="2">
                  <c:v>Not Run</c:v>
                </c:pt>
              </c:strCache>
            </c:strRef>
          </c:cat>
          <c:val>
            <c:numRef>
              <c:f>Summary!$C$17:$C$19</c:f>
              <c:numCache>
                <c:formatCode>General</c:formatCode>
                <c:ptCount val="3"/>
                <c:pt idx="0">
                  <c:v>17</c:v>
                </c:pt>
                <c:pt idx="1">
                  <c:v>4</c:v>
                </c:pt>
                <c:pt idx="2">
                  <c:v>5</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Defects by severity</a:t>
            </a:r>
          </a:p>
        </c:rich>
      </c:tx>
      <c:overlay val="0"/>
      <c:spPr>
        <a:noFill/>
        <a:ln w="0">
          <a:noFill/>
        </a:ln>
      </c:spPr>
    </c:title>
    <c:autoTitleDeleted val="0"/>
    <c:plotArea>
      <c:barChart>
        <c:barDir val="bar"/>
        <c:grouping val="clustered"/>
        <c:varyColors val="0"/>
        <c:ser>
          <c:idx val="0"/>
          <c:order val="0"/>
          <c:spPr>
            <a:solidFill>
              <a:srgbClr val="e0561b"/>
            </a:solidFill>
            <a:ln w="19080">
              <a:solidFill>
                <a:srgbClr val="ffffff"/>
              </a:solidFill>
              <a:round/>
            </a:ln>
          </c:spPr>
          <c:invertIfNegative val="0"/>
          <c:dPt>
            <c:idx val="0"/>
            <c:invertIfNegative val="0"/>
            <c:spPr>
              <a:solidFill>
                <a:srgbClr val="e0561b"/>
              </a:solidFill>
              <a:ln w="19080">
                <a:solidFill>
                  <a:srgbClr val="ffffff"/>
                </a:solidFill>
                <a:round/>
              </a:ln>
            </c:spPr>
          </c:dPt>
          <c:dPt>
            <c:idx val="1"/>
            <c:invertIfNegative val="0"/>
            <c:spPr>
              <a:solidFill>
                <a:srgbClr val="e8a06a"/>
              </a:solidFill>
              <a:ln w="19080">
                <a:solidFill>
                  <a:srgbClr val="ffffff"/>
                </a:solidFill>
                <a:round/>
              </a:ln>
            </c:spPr>
          </c:dPt>
          <c:dPt>
            <c:idx val="2"/>
            <c:invertIfNegative val="0"/>
            <c:spPr>
              <a:solidFill>
                <a:srgbClr val="66736e"/>
              </a:solidFill>
              <a:ln w="19080">
                <a:solidFill>
                  <a:srgbClr val="ffffff"/>
                </a:solidFill>
                <a:round/>
              </a:ln>
            </c:spPr>
          </c:dPt>
          <c:dLbls>
            <c:dLbl>
              <c:idx val="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Summary!$B$22:$B$24</c:f>
              <c:strCache>
                <c:ptCount val="3"/>
                <c:pt idx="0">
                  <c:v>Major</c:v>
                </c:pt>
                <c:pt idx="1">
                  <c:v>Minor</c:v>
                </c:pt>
                <c:pt idx="2">
                  <c:v>Closed</c:v>
                </c:pt>
              </c:strCache>
            </c:strRef>
          </c:cat>
          <c:val>
            <c:numRef>
              <c:f>Summary!$C$22:$C$24</c:f>
              <c:numCache>
                <c:formatCode>General</c:formatCode>
                <c:ptCount val="3"/>
                <c:pt idx="0">
                  <c:v>1</c:v>
                </c:pt>
                <c:pt idx="1">
                  <c:v>3</c:v>
                </c:pt>
                <c:pt idx="2">
                  <c:v>1</c:v>
                </c:pt>
              </c:numCache>
            </c:numRef>
          </c:val>
        </c:ser>
        <c:gapWidth val="150"/>
        <c:overlap val="0"/>
        <c:axId val="74198780"/>
        <c:axId val="53081616"/>
      </c:barChart>
      <c:catAx>
        <c:axId val="741987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081616"/>
        <c:crosses val="autoZero"/>
        <c:auto val="1"/>
        <c:lblAlgn val="ctr"/>
        <c:lblOffset val="100"/>
        <c:noMultiLvlLbl val="0"/>
      </c:catAx>
      <c:valAx>
        <c:axId val="5308161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1987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101160</xdr:rowOff>
    </xdr:from>
    <xdr:to>
      <xdr:col>19</xdr:col>
      <xdr:colOff>113040</xdr:colOff>
      <xdr:row>19</xdr:row>
      <xdr:rowOff>76680</xdr:rowOff>
    </xdr:to>
    <xdr:graphicFrame>
      <xdr:nvGraphicFramePr>
        <xdr:cNvPr id="0" name="Chart 1"/>
        <xdr:cNvGraphicFramePr/>
      </xdr:nvGraphicFramePr>
      <xdr:xfrm>
        <a:off x="6461640" y="762120"/>
        <a:ext cx="6839640" cy="302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21</xdr:row>
      <xdr:rowOff>101160</xdr:rowOff>
    </xdr:from>
    <xdr:to>
      <xdr:col>13</xdr:col>
      <xdr:colOff>362160</xdr:colOff>
      <xdr:row>33</xdr:row>
      <xdr:rowOff>151920</xdr:rowOff>
    </xdr:to>
    <xdr:graphicFrame>
      <xdr:nvGraphicFramePr>
        <xdr:cNvPr id="1" name="Chart 2"/>
        <xdr:cNvGraphicFramePr/>
      </xdr:nvGraphicFramePr>
      <xdr:xfrm>
        <a:off x="6461640" y="4191120"/>
        <a:ext cx="34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21</xdr:row>
      <xdr:rowOff>101160</xdr:rowOff>
    </xdr:from>
    <xdr:to>
      <xdr:col>22</xdr:col>
      <xdr:colOff>362160</xdr:colOff>
      <xdr:row>30</xdr:row>
      <xdr:rowOff>147240</xdr:rowOff>
    </xdr:to>
    <xdr:graphicFrame>
      <xdr:nvGraphicFramePr>
        <xdr:cNvPr id="2" name="Chart 3"/>
        <xdr:cNvGraphicFramePr/>
      </xdr:nvGraphicFramePr>
      <xdr:xfrm>
        <a:off x="11965320" y="4191120"/>
        <a:ext cx="3419640" cy="230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34"/>
    <pageSetUpPr fitToPage="true"/>
  </sheetPr>
  <dimension ref="B2: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92"/>
  </cols>
  <sheetData>
    <row r="2" customFormat="false" ht="15" hidden="false" customHeight="false" outlineLevel="0" collapsed="false">
      <c r="B2" s="1" t="s">
        <v>0</v>
      </c>
    </row>
    <row r="3" customFormat="false" ht="22.0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4"/>
      <c r="C5" s="4"/>
    </row>
    <row r="7" customFormat="false" ht="15" hidden="false" customHeight="false" outlineLevel="0" collapsed="false">
      <c r="B7" s="5" t="s">
        <v>3</v>
      </c>
    </row>
    <row r="8" customFormat="false" ht="15" hidden="false" customHeight="false" outlineLevel="0" collapsed="false">
      <c r="B8" s="6" t="s">
        <v>4</v>
      </c>
      <c r="C8" s="7" t="s">
        <v>5</v>
      </c>
    </row>
    <row r="9" customFormat="false" ht="15" hidden="false" customHeight="false" outlineLevel="0" collapsed="false">
      <c r="B9" s="6" t="s">
        <v>6</v>
      </c>
      <c r="C9" s="7" t="s">
        <v>7</v>
      </c>
    </row>
    <row r="10" customFormat="false" ht="15" hidden="false" customHeight="false" outlineLevel="0" collapsed="false">
      <c r="B10" s="6" t="s">
        <v>8</v>
      </c>
      <c r="C10" s="7" t="s">
        <v>9</v>
      </c>
    </row>
    <row r="11" customFormat="false" ht="15" hidden="false" customHeight="false" outlineLevel="0" collapsed="false">
      <c r="B11" s="6" t="s">
        <v>10</v>
      </c>
      <c r="C11" s="7" t="s">
        <v>11</v>
      </c>
    </row>
    <row r="12" customFormat="false" ht="15" hidden="false" customHeight="false" outlineLevel="0" collapsed="false">
      <c r="B12" s="6" t="s">
        <v>12</v>
      </c>
      <c r="C12" s="7" t="s">
        <v>13</v>
      </c>
    </row>
    <row r="14" customFormat="false" ht="15" hidden="false" customHeight="false" outlineLevel="0" collapsed="false">
      <c r="B14" s="5" t="s">
        <v>14</v>
      </c>
    </row>
    <row r="15" customFormat="false" ht="30" hidden="false" customHeight="true" outlineLevel="0" collapsed="false">
      <c r="B15" s="6" t="s">
        <v>15</v>
      </c>
      <c r="C15" s="7" t="s">
        <v>16</v>
      </c>
    </row>
    <row r="16" customFormat="false" ht="15" hidden="false" customHeight="false" outlineLevel="0" collapsed="false">
      <c r="B16" s="6" t="s">
        <v>17</v>
      </c>
      <c r="C16" s="7" t="s">
        <v>18</v>
      </c>
    </row>
    <row r="17" customFormat="false" ht="15" hidden="false" customHeight="false" outlineLevel="0" collapsed="false">
      <c r="B17" s="6" t="s">
        <v>19</v>
      </c>
      <c r="C17" s="7" t="s">
        <v>20</v>
      </c>
    </row>
    <row r="18" customFormat="false" ht="15" hidden="false" customHeight="false" outlineLevel="0" collapsed="false">
      <c r="B18" s="6" t="s">
        <v>21</v>
      </c>
      <c r="C18" s="7" t="s">
        <v>22</v>
      </c>
    </row>
    <row r="19" customFormat="false" ht="30" hidden="false" customHeight="true" outlineLevel="0" collapsed="false">
      <c r="B19" s="6" t="s">
        <v>23</v>
      </c>
      <c r="C19" s="7" t="s">
        <v>24</v>
      </c>
    </row>
    <row r="20" customFormat="false" ht="30" hidden="false" customHeight="true" outlineLevel="0" collapsed="false">
      <c r="B20" s="6" t="s">
        <v>25</v>
      </c>
      <c r="C20" s="7" t="s">
        <v>26</v>
      </c>
    </row>
    <row r="21" customFormat="false" ht="60" hidden="false" customHeight="true" outlineLevel="0" collapsed="false">
      <c r="B21" s="6" t="s">
        <v>27</v>
      </c>
      <c r="C21" s="7" t="s">
        <v>28</v>
      </c>
    </row>
    <row r="23" customFormat="false" ht="15" hidden="false" customHeight="false" outlineLevel="0" collapsed="false">
      <c r="B23" s="5" t="s">
        <v>29</v>
      </c>
    </row>
    <row r="24" customFormat="false" ht="15" hidden="false" customHeight="false" outlineLevel="0" collapsed="false">
      <c r="B24" s="8" t="s">
        <v>30</v>
      </c>
      <c r="C24" s="9" t="n">
        <f aca="false">COUNTA('Test Cases'!A3:A28)</f>
        <v>26</v>
      </c>
    </row>
    <row r="25" customFormat="false" ht="15" hidden="false" customHeight="false" outlineLevel="0" collapsed="false">
      <c r="B25" s="8" t="s">
        <v>31</v>
      </c>
      <c r="C25" s="9" t="n">
        <f aca="false">COUNTIFS('Test Cases'!H3:H28,"Pass")+COUNTIFS('Test Cases'!H3:H28,"Fail")</f>
        <v>21</v>
      </c>
    </row>
    <row r="26" customFormat="false" ht="15" hidden="false" customHeight="false" outlineLevel="0" collapsed="false">
      <c r="B26" s="8" t="s">
        <v>32</v>
      </c>
      <c r="C26" s="9" t="n">
        <f aca="false">COUNTIFS('Test Cases'!H3:H28,"Pass")</f>
        <v>17</v>
      </c>
    </row>
    <row r="27" customFormat="false" ht="15" hidden="false" customHeight="false" outlineLevel="0" collapsed="false">
      <c r="B27" s="8" t="s">
        <v>33</v>
      </c>
      <c r="C27" s="9" t="n">
        <f aca="false">COUNTIFS('Test Cases'!H3:H28,"Fail")</f>
        <v>4</v>
      </c>
    </row>
    <row r="28" customFormat="false" ht="15" hidden="false" customHeight="false" outlineLevel="0" collapsed="false">
      <c r="B28" s="8" t="s">
        <v>34</v>
      </c>
      <c r="C28" s="9" t="n">
        <f aca="false">COUNTIFS('Test Cases'!H3:H28,"Not Run")</f>
        <v>5</v>
      </c>
    </row>
    <row r="29" customFormat="false" ht="15" hidden="false" customHeight="false" outlineLevel="0" collapsed="false">
      <c r="B29" s="8" t="s">
        <v>35</v>
      </c>
      <c r="C29" s="9" t="n">
        <f aca="false">COUNTA('Defect Log'!A3:A7)</f>
        <v>5</v>
      </c>
    </row>
    <row r="30" customFormat="false" ht="15" hidden="false" customHeight="false" outlineLevel="0" collapsed="false">
      <c r="B30" s="8" t="s">
        <v>36</v>
      </c>
      <c r="C30" s="9" t="n">
        <f aca="false">COUNTIFS('Defect Log'!J3:J7,"Open")</f>
        <v>4</v>
      </c>
    </row>
    <row r="31" customFormat="false" ht="15" hidden="false" customHeight="false" outlineLevel="0" collapsed="false">
      <c r="B31" s="8" t="s">
        <v>37</v>
      </c>
      <c r="C31" s="9" t="n">
        <f aca="false">COUNTIFS('Defect Log'!J3:J7,"Closed, not a defect")</f>
        <v>1</v>
      </c>
    </row>
    <row r="33" customFormat="false" ht="15" hidden="false" customHeight="false" outlineLevel="0" collapsed="false">
      <c r="B33" s="10" t="s">
        <v>38</v>
      </c>
    </row>
    <row r="34" customFormat="false" ht="150" hidden="false" customHeight="true" outlineLevel="0" collapsed="false">
      <c r="B34" s="6" t="s">
        <v>39</v>
      </c>
      <c r="C34" s="7" t="s">
        <v>40</v>
      </c>
    </row>
    <row r="36" customFormat="false" ht="15" hidden="false" customHeight="false" outlineLevel="0" collapsed="false">
      <c r="B36" s="5" t="s">
        <v>41</v>
      </c>
    </row>
    <row r="37" customFormat="false" ht="15" hidden="false" customHeight="false" outlineLevel="0" collapsed="false">
      <c r="B37" s="8" t="s">
        <v>42</v>
      </c>
      <c r="C37" s="11" t="s">
        <v>43</v>
      </c>
    </row>
    <row r="38" customFormat="false" ht="15" hidden="false" customHeight="false" outlineLevel="0" collapsed="false">
      <c r="B38" s="8" t="s">
        <v>44</v>
      </c>
      <c r="C38" s="11" t="s">
        <v>45</v>
      </c>
    </row>
    <row r="39" customFormat="false" ht="15" hidden="false" customHeight="false" outlineLevel="0" collapsed="false">
      <c r="B39" s="8" t="s">
        <v>46</v>
      </c>
      <c r="C39" s="11" t="s">
        <v>47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7C54"/>
    <pageSetUpPr fitToPage="true"/>
  </sheetPr>
  <dimension ref="B2: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11"/>
    <col collapsed="false" customWidth="true" hidden="false" outlineLevel="0" max="5" min="4" style="0" width="10"/>
    <col collapsed="false" customWidth="true" hidden="false" outlineLevel="0" max="6" min="6" style="0" width="11"/>
    <col collapsed="false" customWidth="true" hidden="false" outlineLevel="0" max="7" min="7" style="0" width="13"/>
  </cols>
  <sheetData>
    <row r="2" customFormat="false" ht="22.05" hidden="false" customHeight="false" outlineLevel="0" collapsed="false">
      <c r="B2" s="2" t="s">
        <v>48</v>
      </c>
    </row>
    <row r="3" customFormat="false" ht="15" hidden="false" customHeight="false" outlineLevel="0" collapsed="false">
      <c r="B3" s="3" t="s">
        <v>49</v>
      </c>
    </row>
    <row r="5" customFormat="false" ht="15" hidden="false" customHeight="false" outlineLevel="0" collapsed="false">
      <c r="B5" s="12" t="s">
        <v>50</v>
      </c>
      <c r="C5" s="12" t="s">
        <v>51</v>
      </c>
      <c r="D5" s="12" t="s">
        <v>52</v>
      </c>
      <c r="E5" s="12" t="s">
        <v>53</v>
      </c>
      <c r="F5" s="12" t="s">
        <v>54</v>
      </c>
      <c r="G5" s="12" t="s">
        <v>55</v>
      </c>
    </row>
    <row r="6" customFormat="false" ht="15" hidden="false" customHeight="false" outlineLevel="0" collapsed="false">
      <c r="B6" s="13" t="s">
        <v>56</v>
      </c>
      <c r="C6" s="14" t="n">
        <f aca="false">COUNTIFS('Test Cases'!B3:B28,$B6)</f>
        <v>4</v>
      </c>
      <c r="D6" s="14" t="n">
        <f aca="false">COUNTIFS('Test Cases'!B3:B28,$B6,'Test Cases'!H3:H28,"Pass")</f>
        <v>3</v>
      </c>
      <c r="E6" s="14" t="n">
        <f aca="false">COUNTIFS('Test Cases'!B3:B28,$B6,'Test Cases'!H3:H28,"Fail")</f>
        <v>0</v>
      </c>
      <c r="F6" s="14" t="n">
        <f aca="false">COUNTIFS('Test Cases'!B3:B28,$B6,'Test Cases'!H3:H28,"Not Run")</f>
        <v>1</v>
      </c>
      <c r="G6" s="15" t="n">
        <f aca="false">IFERROR((D6+E6)/C6,0)</f>
        <v>0.75</v>
      </c>
    </row>
    <row r="7" customFormat="false" ht="15" hidden="false" customHeight="false" outlineLevel="0" collapsed="false">
      <c r="B7" s="16" t="s">
        <v>57</v>
      </c>
      <c r="C7" s="17" t="n">
        <f aca="false">COUNTIFS('Test Cases'!B3:B28,$B7)</f>
        <v>6</v>
      </c>
      <c r="D7" s="17" t="n">
        <f aca="false">COUNTIFS('Test Cases'!B3:B28,$B7,'Test Cases'!H3:H28,"Pass")</f>
        <v>2</v>
      </c>
      <c r="E7" s="17" t="n">
        <f aca="false">COUNTIFS('Test Cases'!B3:B28,$B7,'Test Cases'!H3:H28,"Fail")</f>
        <v>0</v>
      </c>
      <c r="F7" s="17" t="n">
        <f aca="false">COUNTIFS('Test Cases'!B3:B28,$B7,'Test Cases'!H3:H28,"Not Run")</f>
        <v>4</v>
      </c>
      <c r="G7" s="18" t="n">
        <f aca="false">IFERROR((D7+E7)/C7,0)</f>
        <v>0.333333333333333</v>
      </c>
    </row>
    <row r="8" customFormat="false" ht="15" hidden="false" customHeight="false" outlineLevel="0" collapsed="false">
      <c r="B8" s="13" t="s">
        <v>58</v>
      </c>
      <c r="C8" s="14" t="n">
        <f aca="false">COUNTIFS('Test Cases'!B3:B28,$B8)</f>
        <v>3</v>
      </c>
      <c r="D8" s="14" t="n">
        <f aca="false">COUNTIFS('Test Cases'!B3:B28,$B8,'Test Cases'!H3:H28,"Pass")</f>
        <v>3</v>
      </c>
      <c r="E8" s="14" t="n">
        <f aca="false">COUNTIFS('Test Cases'!B3:B28,$B8,'Test Cases'!H3:H28,"Fail")</f>
        <v>0</v>
      </c>
      <c r="F8" s="14" t="n">
        <f aca="false">COUNTIFS('Test Cases'!B3:B28,$B8,'Test Cases'!H3:H28,"Not Run")</f>
        <v>0</v>
      </c>
      <c r="G8" s="15" t="n">
        <f aca="false">IFERROR((D8+E8)/C8,0)</f>
        <v>1</v>
      </c>
    </row>
    <row r="9" customFormat="false" ht="15" hidden="false" customHeight="false" outlineLevel="0" collapsed="false">
      <c r="B9" s="16" t="s">
        <v>59</v>
      </c>
      <c r="C9" s="17" t="n">
        <f aca="false">COUNTIFS('Test Cases'!B3:B28,$B9)</f>
        <v>3</v>
      </c>
      <c r="D9" s="17" t="n">
        <f aca="false">COUNTIFS('Test Cases'!B3:B28,$B9,'Test Cases'!H3:H28,"Pass")</f>
        <v>3</v>
      </c>
      <c r="E9" s="17" t="n">
        <f aca="false">COUNTIFS('Test Cases'!B3:B28,$B9,'Test Cases'!H3:H28,"Fail")</f>
        <v>0</v>
      </c>
      <c r="F9" s="17" t="n">
        <f aca="false">COUNTIFS('Test Cases'!B3:B28,$B9,'Test Cases'!H3:H28,"Not Run")</f>
        <v>0</v>
      </c>
      <c r="G9" s="18" t="n">
        <f aca="false">IFERROR((D9+E9)/C9,0)</f>
        <v>1</v>
      </c>
    </row>
    <row r="10" customFormat="false" ht="15" hidden="false" customHeight="false" outlineLevel="0" collapsed="false">
      <c r="B10" s="13" t="s">
        <v>60</v>
      </c>
      <c r="C10" s="14" t="n">
        <f aca="false">COUNTIFS('Test Cases'!B3:B28,$B10)</f>
        <v>2</v>
      </c>
      <c r="D10" s="14" t="n">
        <f aca="false">COUNTIFS('Test Cases'!B3:B28,$B10,'Test Cases'!H3:H28,"Pass")</f>
        <v>2</v>
      </c>
      <c r="E10" s="14" t="n">
        <f aca="false">COUNTIFS('Test Cases'!B3:B28,$B10,'Test Cases'!H3:H28,"Fail")</f>
        <v>0</v>
      </c>
      <c r="F10" s="14" t="n">
        <f aca="false">COUNTIFS('Test Cases'!B3:B28,$B10,'Test Cases'!H3:H28,"Not Run")</f>
        <v>0</v>
      </c>
      <c r="G10" s="15" t="n">
        <f aca="false">IFERROR((D10+E10)/C10,0)</f>
        <v>1</v>
      </c>
    </row>
    <row r="11" customFormat="false" ht="15" hidden="false" customHeight="false" outlineLevel="0" collapsed="false">
      <c r="B11" s="16" t="s">
        <v>61</v>
      </c>
      <c r="C11" s="17" t="n">
        <f aca="false">COUNTIFS('Test Cases'!B3:B28,$B11)</f>
        <v>3</v>
      </c>
      <c r="D11" s="17" t="n">
        <f aca="false">COUNTIFS('Test Cases'!B3:B28,$B11,'Test Cases'!H3:H28,"Pass")</f>
        <v>2</v>
      </c>
      <c r="E11" s="17" t="n">
        <f aca="false">COUNTIFS('Test Cases'!B3:B28,$B11,'Test Cases'!H3:H28,"Fail")</f>
        <v>1</v>
      </c>
      <c r="F11" s="17" t="n">
        <f aca="false">COUNTIFS('Test Cases'!B3:B28,$B11,'Test Cases'!H3:H28,"Not Run")</f>
        <v>0</v>
      </c>
      <c r="G11" s="18" t="n">
        <f aca="false">IFERROR((D11+E11)/C11,0)</f>
        <v>1</v>
      </c>
    </row>
    <row r="12" customFormat="false" ht="15" hidden="false" customHeight="false" outlineLevel="0" collapsed="false">
      <c r="B12" s="13" t="s">
        <v>62</v>
      </c>
      <c r="C12" s="14" t="n">
        <f aca="false">COUNTIFS('Test Cases'!B3:B28,$B12)</f>
        <v>4</v>
      </c>
      <c r="D12" s="14" t="n">
        <f aca="false">COUNTIFS('Test Cases'!B3:B28,$B12,'Test Cases'!H3:H28,"Pass")</f>
        <v>2</v>
      </c>
      <c r="E12" s="14" t="n">
        <f aca="false">COUNTIFS('Test Cases'!B3:B28,$B12,'Test Cases'!H3:H28,"Fail")</f>
        <v>2</v>
      </c>
      <c r="F12" s="14" t="n">
        <f aca="false">COUNTIFS('Test Cases'!B3:B28,$B12,'Test Cases'!H3:H28,"Not Run")</f>
        <v>0</v>
      </c>
      <c r="G12" s="15" t="n">
        <f aca="false">IFERROR((D12+E12)/C12,0)</f>
        <v>1</v>
      </c>
    </row>
    <row r="13" customFormat="false" ht="15" hidden="false" customHeight="false" outlineLevel="0" collapsed="false">
      <c r="B13" s="16" t="s">
        <v>63</v>
      </c>
      <c r="C13" s="17" t="n">
        <f aca="false">COUNTIFS('Test Cases'!B3:B28,$B13)</f>
        <v>1</v>
      </c>
      <c r="D13" s="17" t="n">
        <f aca="false">COUNTIFS('Test Cases'!B3:B28,$B13,'Test Cases'!H3:H28,"Pass")</f>
        <v>0</v>
      </c>
      <c r="E13" s="17" t="n">
        <f aca="false">COUNTIFS('Test Cases'!B3:B28,$B13,'Test Cases'!H3:H28,"Fail")</f>
        <v>1</v>
      </c>
      <c r="F13" s="17" t="n">
        <f aca="false">COUNTIFS('Test Cases'!B3:B28,$B13,'Test Cases'!H3:H28,"Not Run")</f>
        <v>0</v>
      </c>
      <c r="G13" s="18" t="n">
        <f aca="false">IFERROR((D13+E13)/C13,0)</f>
        <v>1</v>
      </c>
    </row>
    <row r="14" customFormat="false" ht="15" hidden="false" customHeight="false" outlineLevel="0" collapsed="false">
      <c r="B14" s="19" t="s">
        <v>64</v>
      </c>
      <c r="C14" s="20" t="n">
        <f aca="false">SUM(C6:C13)</f>
        <v>26</v>
      </c>
      <c r="D14" s="20" t="n">
        <f aca="false">SUM(D6:D13)</f>
        <v>17</v>
      </c>
      <c r="E14" s="20" t="n">
        <f aca="false">SUM(E6:E13)</f>
        <v>4</v>
      </c>
      <c r="F14" s="20" t="n">
        <f aca="false">SUM(F6:F13)</f>
        <v>5</v>
      </c>
      <c r="G14" s="21" t="n">
        <f aca="false">IFERROR((D14+E14)/C14,0)</f>
        <v>0.807692307692308</v>
      </c>
    </row>
    <row r="16" customFormat="false" ht="15" hidden="false" customHeight="false" outlineLevel="0" collapsed="false">
      <c r="B16" s="5" t="s">
        <v>65</v>
      </c>
    </row>
    <row r="17" customFormat="false" ht="15" hidden="false" customHeight="false" outlineLevel="0" collapsed="false">
      <c r="B17" s="11" t="s">
        <v>52</v>
      </c>
      <c r="C17" s="22" t="n">
        <f aca="false">D14</f>
        <v>17</v>
      </c>
    </row>
    <row r="18" customFormat="false" ht="15" hidden="false" customHeight="false" outlineLevel="0" collapsed="false">
      <c r="B18" s="11" t="s">
        <v>53</v>
      </c>
      <c r="C18" s="22" t="n">
        <f aca="false">E14</f>
        <v>4</v>
      </c>
    </row>
    <row r="19" customFormat="false" ht="15" hidden="false" customHeight="false" outlineLevel="0" collapsed="false">
      <c r="B19" s="11" t="s">
        <v>54</v>
      </c>
      <c r="C19" s="22" t="n">
        <f aca="false">F14</f>
        <v>5</v>
      </c>
    </row>
    <row r="21" customFormat="false" ht="15" hidden="false" customHeight="false" outlineLevel="0" collapsed="false">
      <c r="B21" s="5" t="s">
        <v>66</v>
      </c>
    </row>
    <row r="22" customFormat="false" ht="15" hidden="false" customHeight="false" outlineLevel="0" collapsed="false">
      <c r="B22" s="11" t="s">
        <v>44</v>
      </c>
      <c r="C22" s="22" t="n">
        <f aca="false">COUNTIFS('Defect Log'!D3:D7,"Major",'Defect Log'!J3:J7,"Open")</f>
        <v>1</v>
      </c>
    </row>
    <row r="23" customFormat="false" ht="15" hidden="false" customHeight="false" outlineLevel="0" collapsed="false">
      <c r="B23" s="11" t="s">
        <v>46</v>
      </c>
      <c r="C23" s="22" t="n">
        <f aca="false">COUNTIFS('Defect Log'!D3:D7,"Minor",'Defect Log'!J3:J7,"Open")</f>
        <v>3</v>
      </c>
    </row>
    <row r="24" customFormat="false" ht="15" hidden="false" customHeight="false" outlineLevel="0" collapsed="false">
      <c r="B24" s="11" t="s">
        <v>67</v>
      </c>
      <c r="C24" s="22" t="n">
        <f aca="false">COUNTIFS('Defect Log'!J3:J7,"Closed, not a defect")</f>
        <v>1</v>
      </c>
    </row>
    <row r="27" customFormat="false" ht="57.75" hidden="false" customHeight="true" outlineLevel="0" collapsed="false">
      <c r="B27" s="8" t="s">
        <v>68</v>
      </c>
      <c r="C27" s="23" t="s">
        <v>69</v>
      </c>
      <c r="D27" s="23"/>
      <c r="E27" s="23"/>
      <c r="F27" s="23"/>
      <c r="G27" s="23"/>
    </row>
  </sheetData>
  <mergeCells count="1">
    <mergeCell ref="C27:G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6F63"/>
    <pageSetUpPr fitToPage="tru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1"/>
    <col collapsed="false" customWidth="true" hidden="false" outlineLevel="0" max="3" min="3" style="0" width="33"/>
    <col collapsed="false" customWidth="true" hidden="false" outlineLevel="0" max="4" min="4" style="0" width="19"/>
    <col collapsed="false" customWidth="true" hidden="false" outlineLevel="0" max="6" min="5" style="0" width="40"/>
    <col collapsed="false" customWidth="true" hidden="false" outlineLevel="0" max="7" min="7" style="0" width="48"/>
    <col collapsed="false" customWidth="true" hidden="false" outlineLevel="0" max="9" min="8" style="0" width="10"/>
    <col collapsed="false" customWidth="true" hidden="false" outlineLevel="0" max="10" min="10" style="0" width="11"/>
  </cols>
  <sheetData>
    <row r="1" customFormat="false" ht="22.05" hidden="false" customHeight="false" outlineLevel="0" collapsed="false">
      <c r="A1" s="2" t="s">
        <v>70</v>
      </c>
    </row>
    <row r="2" customFormat="false" ht="15" hidden="false" customHeight="false" outlineLevel="0" collapsed="false">
      <c r="A2" s="12" t="s">
        <v>71</v>
      </c>
      <c r="B2" s="12" t="s">
        <v>50</v>
      </c>
      <c r="C2" s="12" t="s">
        <v>72</v>
      </c>
      <c r="D2" s="12" t="s">
        <v>73</v>
      </c>
      <c r="E2" s="12" t="s">
        <v>74</v>
      </c>
      <c r="F2" s="12" t="s">
        <v>75</v>
      </c>
      <c r="G2" s="12" t="s">
        <v>76</v>
      </c>
      <c r="H2" s="12" t="s">
        <v>12</v>
      </c>
      <c r="I2" s="12" t="s">
        <v>77</v>
      </c>
      <c r="J2" s="12" t="s">
        <v>78</v>
      </c>
    </row>
    <row r="3" customFormat="false" ht="61.5" hidden="false" customHeight="true" outlineLevel="0" collapsed="false">
      <c r="A3" s="24" t="s">
        <v>79</v>
      </c>
      <c r="B3" s="25" t="s">
        <v>56</v>
      </c>
      <c r="C3" s="25" t="s">
        <v>80</v>
      </c>
      <c r="D3" s="25" t="s">
        <v>81</v>
      </c>
      <c r="E3" s="25" t="s">
        <v>82</v>
      </c>
      <c r="F3" s="25" t="s">
        <v>83</v>
      </c>
      <c r="G3" s="25" t="s">
        <v>84</v>
      </c>
      <c r="H3" s="26" t="s">
        <v>52</v>
      </c>
      <c r="I3" s="14"/>
      <c r="J3" s="14"/>
    </row>
    <row r="4" customFormat="false" ht="61.5" hidden="false" customHeight="true" outlineLevel="0" collapsed="false">
      <c r="A4" s="27" t="s">
        <v>85</v>
      </c>
      <c r="B4" s="28" t="s">
        <v>56</v>
      </c>
      <c r="C4" s="28" t="s">
        <v>86</v>
      </c>
      <c r="D4" s="28" t="s">
        <v>87</v>
      </c>
      <c r="E4" s="28" t="s">
        <v>88</v>
      </c>
      <c r="F4" s="28" t="s">
        <v>89</v>
      </c>
      <c r="G4" s="28" t="s">
        <v>90</v>
      </c>
      <c r="H4" s="26" t="s">
        <v>52</v>
      </c>
      <c r="I4" s="17"/>
      <c r="J4" s="17"/>
    </row>
    <row r="5" customFormat="false" ht="61.5" hidden="false" customHeight="true" outlineLevel="0" collapsed="false">
      <c r="A5" s="24" t="s">
        <v>91</v>
      </c>
      <c r="B5" s="25" t="s">
        <v>56</v>
      </c>
      <c r="C5" s="25" t="s">
        <v>92</v>
      </c>
      <c r="D5" s="25" t="s">
        <v>93</v>
      </c>
      <c r="E5" s="25" t="s">
        <v>94</v>
      </c>
      <c r="F5" s="25" t="s">
        <v>95</v>
      </c>
      <c r="G5" s="25" t="s">
        <v>96</v>
      </c>
      <c r="H5" s="26" t="s">
        <v>52</v>
      </c>
      <c r="I5" s="14"/>
      <c r="J5" s="14"/>
    </row>
    <row r="6" customFormat="false" ht="61.5" hidden="false" customHeight="true" outlineLevel="0" collapsed="false">
      <c r="A6" s="27" t="s">
        <v>97</v>
      </c>
      <c r="B6" s="28" t="s">
        <v>56</v>
      </c>
      <c r="C6" s="28" t="s">
        <v>98</v>
      </c>
      <c r="D6" s="28" t="s">
        <v>81</v>
      </c>
      <c r="E6" s="28" t="s">
        <v>99</v>
      </c>
      <c r="F6" s="28" t="s">
        <v>100</v>
      </c>
      <c r="G6" s="28" t="s">
        <v>101</v>
      </c>
      <c r="H6" s="29" t="s">
        <v>54</v>
      </c>
      <c r="I6" s="17"/>
      <c r="J6" s="17"/>
    </row>
    <row r="7" customFormat="false" ht="61.5" hidden="false" customHeight="true" outlineLevel="0" collapsed="false">
      <c r="A7" s="24" t="s">
        <v>102</v>
      </c>
      <c r="B7" s="25" t="s">
        <v>57</v>
      </c>
      <c r="C7" s="25" t="s">
        <v>103</v>
      </c>
      <c r="D7" s="25" t="s">
        <v>104</v>
      </c>
      <c r="E7" s="25" t="s">
        <v>105</v>
      </c>
      <c r="F7" s="25" t="s">
        <v>106</v>
      </c>
      <c r="G7" s="25" t="s">
        <v>107</v>
      </c>
      <c r="H7" s="26" t="s">
        <v>52</v>
      </c>
      <c r="I7" s="14"/>
      <c r="J7" s="14"/>
    </row>
    <row r="8" customFormat="false" ht="61.5" hidden="false" customHeight="true" outlineLevel="0" collapsed="false">
      <c r="A8" s="27" t="s">
        <v>108</v>
      </c>
      <c r="B8" s="28" t="s">
        <v>57</v>
      </c>
      <c r="C8" s="28" t="s">
        <v>109</v>
      </c>
      <c r="D8" s="28" t="s">
        <v>110</v>
      </c>
      <c r="E8" s="28" t="s">
        <v>111</v>
      </c>
      <c r="F8" s="28" t="s">
        <v>112</v>
      </c>
      <c r="G8" s="28" t="s">
        <v>101</v>
      </c>
      <c r="H8" s="29" t="s">
        <v>54</v>
      </c>
      <c r="I8" s="17"/>
      <c r="J8" s="17"/>
    </row>
    <row r="9" customFormat="false" ht="61.5" hidden="false" customHeight="true" outlineLevel="0" collapsed="false">
      <c r="A9" s="24" t="s">
        <v>113</v>
      </c>
      <c r="B9" s="25" t="s">
        <v>57</v>
      </c>
      <c r="C9" s="25" t="s">
        <v>114</v>
      </c>
      <c r="D9" s="25" t="s">
        <v>115</v>
      </c>
      <c r="E9" s="25" t="s">
        <v>116</v>
      </c>
      <c r="F9" s="25" t="s">
        <v>117</v>
      </c>
      <c r="G9" s="25" t="s">
        <v>101</v>
      </c>
      <c r="H9" s="29" t="s">
        <v>54</v>
      </c>
      <c r="I9" s="14"/>
      <c r="J9" s="14"/>
    </row>
    <row r="10" customFormat="false" ht="61.5" hidden="false" customHeight="true" outlineLevel="0" collapsed="false">
      <c r="A10" s="27" t="s">
        <v>118</v>
      </c>
      <c r="B10" s="28" t="s">
        <v>57</v>
      </c>
      <c r="C10" s="28" t="s">
        <v>119</v>
      </c>
      <c r="D10" s="28" t="s">
        <v>115</v>
      </c>
      <c r="E10" s="28" t="s">
        <v>120</v>
      </c>
      <c r="F10" s="28" t="s">
        <v>121</v>
      </c>
      <c r="G10" s="28" t="s">
        <v>101</v>
      </c>
      <c r="H10" s="29" t="s">
        <v>54</v>
      </c>
      <c r="I10" s="17"/>
      <c r="J10" s="17"/>
    </row>
    <row r="11" customFormat="false" ht="61.5" hidden="false" customHeight="true" outlineLevel="0" collapsed="false">
      <c r="A11" s="24" t="s">
        <v>122</v>
      </c>
      <c r="B11" s="25" t="s">
        <v>57</v>
      </c>
      <c r="C11" s="25" t="s">
        <v>123</v>
      </c>
      <c r="D11" s="25" t="s">
        <v>124</v>
      </c>
      <c r="E11" s="25" t="s">
        <v>125</v>
      </c>
      <c r="F11" s="25" t="s">
        <v>126</v>
      </c>
      <c r="G11" s="25" t="s">
        <v>127</v>
      </c>
      <c r="H11" s="29" t="s">
        <v>54</v>
      </c>
      <c r="I11" s="14"/>
      <c r="J11" s="14"/>
    </row>
    <row r="12" customFormat="false" ht="61.5" hidden="false" customHeight="true" outlineLevel="0" collapsed="false">
      <c r="A12" s="27" t="s">
        <v>128</v>
      </c>
      <c r="B12" s="28" t="s">
        <v>57</v>
      </c>
      <c r="C12" s="28" t="s">
        <v>129</v>
      </c>
      <c r="D12" s="28" t="s">
        <v>81</v>
      </c>
      <c r="E12" s="28" t="s">
        <v>130</v>
      </c>
      <c r="F12" s="28" t="s">
        <v>131</v>
      </c>
      <c r="G12" s="28" t="s">
        <v>132</v>
      </c>
      <c r="H12" s="26" t="s">
        <v>52</v>
      </c>
      <c r="I12" s="17"/>
      <c r="J12" s="17"/>
    </row>
    <row r="13" customFormat="false" ht="61.5" hidden="false" customHeight="true" outlineLevel="0" collapsed="false">
      <c r="A13" s="24" t="s">
        <v>133</v>
      </c>
      <c r="B13" s="25" t="s">
        <v>58</v>
      </c>
      <c r="C13" s="25" t="s">
        <v>134</v>
      </c>
      <c r="D13" s="25" t="s">
        <v>81</v>
      </c>
      <c r="E13" s="25" t="s">
        <v>135</v>
      </c>
      <c r="F13" s="25" t="s">
        <v>136</v>
      </c>
      <c r="G13" s="25" t="s">
        <v>137</v>
      </c>
      <c r="H13" s="26" t="s">
        <v>52</v>
      </c>
      <c r="I13" s="14"/>
      <c r="J13" s="14"/>
    </row>
    <row r="14" customFormat="false" ht="61.5" hidden="false" customHeight="true" outlineLevel="0" collapsed="false">
      <c r="A14" s="27" t="s">
        <v>138</v>
      </c>
      <c r="B14" s="28" t="s">
        <v>58</v>
      </c>
      <c r="C14" s="28" t="s">
        <v>139</v>
      </c>
      <c r="D14" s="28" t="s">
        <v>140</v>
      </c>
      <c r="E14" s="28" t="s">
        <v>141</v>
      </c>
      <c r="F14" s="28" t="s">
        <v>142</v>
      </c>
      <c r="G14" s="28" t="s">
        <v>143</v>
      </c>
      <c r="H14" s="26" t="s">
        <v>52</v>
      </c>
      <c r="I14" s="17"/>
      <c r="J14" s="17"/>
    </row>
    <row r="15" customFormat="false" ht="61.5" hidden="false" customHeight="true" outlineLevel="0" collapsed="false">
      <c r="A15" s="24" t="s">
        <v>144</v>
      </c>
      <c r="B15" s="25" t="s">
        <v>58</v>
      </c>
      <c r="C15" s="25" t="s">
        <v>145</v>
      </c>
      <c r="D15" s="25" t="s">
        <v>81</v>
      </c>
      <c r="E15" s="25" t="s">
        <v>146</v>
      </c>
      <c r="F15" s="25" t="s">
        <v>147</v>
      </c>
      <c r="G15" s="25" t="s">
        <v>148</v>
      </c>
      <c r="H15" s="26" t="s">
        <v>52</v>
      </c>
      <c r="I15" s="14"/>
      <c r="J15" s="14"/>
    </row>
    <row r="16" customFormat="false" ht="61.5" hidden="false" customHeight="true" outlineLevel="0" collapsed="false">
      <c r="A16" s="27" t="s">
        <v>149</v>
      </c>
      <c r="B16" s="28" t="s">
        <v>59</v>
      </c>
      <c r="C16" s="28" t="s">
        <v>150</v>
      </c>
      <c r="D16" s="28" t="s">
        <v>151</v>
      </c>
      <c r="E16" s="28" t="s">
        <v>152</v>
      </c>
      <c r="F16" s="28" t="s">
        <v>153</v>
      </c>
      <c r="G16" s="28" t="s">
        <v>154</v>
      </c>
      <c r="H16" s="26" t="s">
        <v>52</v>
      </c>
      <c r="I16" s="17"/>
      <c r="J16" s="17"/>
    </row>
    <row r="17" customFormat="false" ht="61.5" hidden="false" customHeight="true" outlineLevel="0" collapsed="false">
      <c r="A17" s="24" t="s">
        <v>155</v>
      </c>
      <c r="B17" s="25" t="s">
        <v>59</v>
      </c>
      <c r="C17" s="25" t="s">
        <v>156</v>
      </c>
      <c r="D17" s="25" t="s">
        <v>151</v>
      </c>
      <c r="E17" s="25" t="s">
        <v>157</v>
      </c>
      <c r="F17" s="25" t="s">
        <v>158</v>
      </c>
      <c r="G17" s="25" t="s">
        <v>159</v>
      </c>
      <c r="H17" s="26" t="s">
        <v>52</v>
      </c>
      <c r="I17" s="14"/>
      <c r="J17" s="14"/>
    </row>
    <row r="18" customFormat="false" ht="61.5" hidden="false" customHeight="true" outlineLevel="0" collapsed="false">
      <c r="A18" s="27" t="s">
        <v>160</v>
      </c>
      <c r="B18" s="28" t="s">
        <v>59</v>
      </c>
      <c r="C18" s="28" t="s">
        <v>161</v>
      </c>
      <c r="D18" s="28" t="s">
        <v>162</v>
      </c>
      <c r="E18" s="28" t="s">
        <v>163</v>
      </c>
      <c r="F18" s="28" t="s">
        <v>164</v>
      </c>
      <c r="G18" s="28" t="s">
        <v>165</v>
      </c>
      <c r="H18" s="26" t="s">
        <v>52</v>
      </c>
      <c r="I18" s="17"/>
      <c r="J18" s="17"/>
    </row>
    <row r="19" customFormat="false" ht="61.5" hidden="false" customHeight="true" outlineLevel="0" collapsed="false">
      <c r="A19" s="24" t="s">
        <v>166</v>
      </c>
      <c r="B19" s="25" t="s">
        <v>60</v>
      </c>
      <c r="C19" s="25" t="s">
        <v>167</v>
      </c>
      <c r="D19" s="25" t="s">
        <v>81</v>
      </c>
      <c r="E19" s="25" t="s">
        <v>168</v>
      </c>
      <c r="F19" s="25" t="s">
        <v>169</v>
      </c>
      <c r="G19" s="25" t="s">
        <v>170</v>
      </c>
      <c r="H19" s="26" t="s">
        <v>52</v>
      </c>
      <c r="I19" s="14"/>
      <c r="J19" s="14"/>
    </row>
    <row r="20" customFormat="false" ht="61.5" hidden="false" customHeight="true" outlineLevel="0" collapsed="false">
      <c r="A20" s="27" t="s">
        <v>171</v>
      </c>
      <c r="B20" s="28" t="s">
        <v>60</v>
      </c>
      <c r="C20" s="28" t="s">
        <v>172</v>
      </c>
      <c r="D20" s="28" t="s">
        <v>173</v>
      </c>
      <c r="E20" s="28" t="s">
        <v>174</v>
      </c>
      <c r="F20" s="28" t="s">
        <v>142</v>
      </c>
      <c r="G20" s="28" t="s">
        <v>175</v>
      </c>
      <c r="H20" s="26" t="s">
        <v>52</v>
      </c>
      <c r="I20" s="17"/>
      <c r="J20" s="17"/>
    </row>
    <row r="21" customFormat="false" ht="61.5" hidden="false" customHeight="true" outlineLevel="0" collapsed="false">
      <c r="A21" s="24" t="s">
        <v>176</v>
      </c>
      <c r="B21" s="25" t="s">
        <v>61</v>
      </c>
      <c r="C21" s="25" t="s">
        <v>177</v>
      </c>
      <c r="D21" s="25" t="s">
        <v>81</v>
      </c>
      <c r="E21" s="25" t="s">
        <v>178</v>
      </c>
      <c r="F21" s="25" t="s">
        <v>179</v>
      </c>
      <c r="G21" s="25" t="s">
        <v>180</v>
      </c>
      <c r="H21" s="26" t="s">
        <v>52</v>
      </c>
      <c r="I21" s="14"/>
      <c r="J21" s="14"/>
    </row>
    <row r="22" customFormat="false" ht="61.5" hidden="false" customHeight="true" outlineLevel="0" collapsed="false">
      <c r="A22" s="27" t="s">
        <v>181</v>
      </c>
      <c r="B22" s="28" t="s">
        <v>61</v>
      </c>
      <c r="C22" s="28" t="s">
        <v>182</v>
      </c>
      <c r="D22" s="28" t="s">
        <v>81</v>
      </c>
      <c r="E22" s="28" t="s">
        <v>183</v>
      </c>
      <c r="F22" s="28" t="s">
        <v>184</v>
      </c>
      <c r="G22" s="28" t="s">
        <v>185</v>
      </c>
      <c r="H22" s="26" t="s">
        <v>52</v>
      </c>
      <c r="I22" s="17"/>
      <c r="J22" s="17"/>
    </row>
    <row r="23" customFormat="false" ht="61.5" hidden="false" customHeight="true" outlineLevel="0" collapsed="false">
      <c r="A23" s="24" t="s">
        <v>186</v>
      </c>
      <c r="B23" s="25" t="s">
        <v>61</v>
      </c>
      <c r="C23" s="25" t="s">
        <v>187</v>
      </c>
      <c r="D23" s="25" t="s">
        <v>81</v>
      </c>
      <c r="E23" s="25" t="s">
        <v>188</v>
      </c>
      <c r="F23" s="25" t="s">
        <v>189</v>
      </c>
      <c r="G23" s="25" t="s">
        <v>190</v>
      </c>
      <c r="H23" s="30" t="s">
        <v>53</v>
      </c>
      <c r="I23" s="14" t="s">
        <v>44</v>
      </c>
      <c r="J23" s="14" t="s">
        <v>191</v>
      </c>
    </row>
    <row r="24" customFormat="false" ht="61.5" hidden="false" customHeight="true" outlineLevel="0" collapsed="false">
      <c r="A24" s="27" t="s">
        <v>192</v>
      </c>
      <c r="B24" s="28" t="s">
        <v>62</v>
      </c>
      <c r="C24" s="28" t="s">
        <v>193</v>
      </c>
      <c r="D24" s="28" t="s">
        <v>81</v>
      </c>
      <c r="E24" s="28" t="s">
        <v>194</v>
      </c>
      <c r="F24" s="28" t="s">
        <v>195</v>
      </c>
      <c r="G24" s="28" t="s">
        <v>196</v>
      </c>
      <c r="H24" s="26" t="s">
        <v>52</v>
      </c>
      <c r="I24" s="17"/>
      <c r="J24" s="17"/>
    </row>
    <row r="25" customFormat="false" ht="61.5" hidden="false" customHeight="true" outlineLevel="0" collapsed="false">
      <c r="A25" s="24" t="s">
        <v>197</v>
      </c>
      <c r="B25" s="25" t="s">
        <v>62</v>
      </c>
      <c r="C25" s="25" t="s">
        <v>198</v>
      </c>
      <c r="D25" s="25" t="s">
        <v>81</v>
      </c>
      <c r="E25" s="25" t="s">
        <v>199</v>
      </c>
      <c r="F25" s="25" t="s">
        <v>200</v>
      </c>
      <c r="G25" s="25" t="s">
        <v>201</v>
      </c>
      <c r="H25" s="30" t="s">
        <v>53</v>
      </c>
      <c r="I25" s="14" t="s">
        <v>46</v>
      </c>
      <c r="J25" s="14" t="s">
        <v>202</v>
      </c>
    </row>
    <row r="26" customFormat="false" ht="61.5" hidden="false" customHeight="true" outlineLevel="0" collapsed="false">
      <c r="A26" s="27" t="s">
        <v>203</v>
      </c>
      <c r="B26" s="28" t="s">
        <v>62</v>
      </c>
      <c r="C26" s="28" t="s">
        <v>204</v>
      </c>
      <c r="D26" s="28" t="s">
        <v>81</v>
      </c>
      <c r="E26" s="28" t="s">
        <v>205</v>
      </c>
      <c r="F26" s="28" t="s">
        <v>206</v>
      </c>
      <c r="G26" s="28" t="s">
        <v>207</v>
      </c>
      <c r="H26" s="30" t="s">
        <v>53</v>
      </c>
      <c r="I26" s="17" t="s">
        <v>46</v>
      </c>
      <c r="J26" s="17" t="s">
        <v>208</v>
      </c>
    </row>
    <row r="27" customFormat="false" ht="61.5" hidden="false" customHeight="true" outlineLevel="0" collapsed="false">
      <c r="A27" s="24" t="s">
        <v>209</v>
      </c>
      <c r="B27" s="25" t="s">
        <v>62</v>
      </c>
      <c r="C27" s="25" t="s">
        <v>210</v>
      </c>
      <c r="D27" s="25" t="s">
        <v>81</v>
      </c>
      <c r="E27" s="25" t="s">
        <v>211</v>
      </c>
      <c r="F27" s="25" t="s">
        <v>212</v>
      </c>
      <c r="G27" s="25" t="s">
        <v>213</v>
      </c>
      <c r="H27" s="26" t="s">
        <v>52</v>
      </c>
      <c r="I27" s="14"/>
      <c r="J27" s="14"/>
    </row>
    <row r="28" customFormat="false" ht="61.5" hidden="false" customHeight="true" outlineLevel="0" collapsed="false">
      <c r="A28" s="27" t="s">
        <v>214</v>
      </c>
      <c r="B28" s="28" t="s">
        <v>63</v>
      </c>
      <c r="C28" s="28" t="s">
        <v>215</v>
      </c>
      <c r="D28" s="28" t="s">
        <v>216</v>
      </c>
      <c r="E28" s="28" t="s">
        <v>217</v>
      </c>
      <c r="F28" s="28" t="s">
        <v>218</v>
      </c>
      <c r="G28" s="28" t="s">
        <v>219</v>
      </c>
      <c r="H28" s="30" t="s">
        <v>53</v>
      </c>
      <c r="I28" s="17" t="s">
        <v>46</v>
      </c>
      <c r="J28" s="17" t="s">
        <v>220</v>
      </c>
    </row>
  </sheetData>
  <autoFilter ref="A2:J2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561B"/>
    <pageSetUpPr fitToPage="true"/>
  </sheetPr>
  <dimension ref="A1:J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34"/>
    <col collapsed="false" customWidth="true" hidden="false" outlineLevel="0" max="4" min="4" style="0" width="11"/>
    <col collapsed="false" customWidth="true" hidden="false" outlineLevel="0" max="5" min="5" style="0" width="10"/>
    <col collapsed="false" customWidth="true" hidden="false" outlineLevel="0" max="6" min="6" style="0" width="40"/>
    <col collapsed="false" customWidth="true" hidden="false" outlineLevel="0" max="7" min="7" style="0" width="34"/>
    <col collapsed="false" customWidth="true" hidden="false" outlineLevel="0" max="8" min="8" style="0" width="50"/>
    <col collapsed="false" customWidth="true" hidden="false" outlineLevel="0" max="9" min="9" style="0" width="30"/>
    <col collapsed="false" customWidth="true" hidden="false" outlineLevel="0" max="10" min="10" style="0" width="20"/>
  </cols>
  <sheetData>
    <row r="1" customFormat="false" ht="22.05" hidden="false" customHeight="false" outlineLevel="0" collapsed="false">
      <c r="A1" s="2" t="s">
        <v>221</v>
      </c>
    </row>
    <row r="2" customFormat="false" ht="15" hidden="false" customHeight="false" outlineLevel="0" collapsed="false">
      <c r="A2" s="12" t="s">
        <v>222</v>
      </c>
      <c r="B2" s="12" t="s">
        <v>50</v>
      </c>
      <c r="C2" s="12" t="s">
        <v>223</v>
      </c>
      <c r="D2" s="12" t="s">
        <v>77</v>
      </c>
      <c r="E2" s="12" t="s">
        <v>224</v>
      </c>
      <c r="F2" s="12" t="s">
        <v>225</v>
      </c>
      <c r="G2" s="12" t="s">
        <v>75</v>
      </c>
      <c r="H2" s="12" t="s">
        <v>76</v>
      </c>
      <c r="I2" s="12" t="s">
        <v>226</v>
      </c>
      <c r="J2" s="12" t="s">
        <v>12</v>
      </c>
    </row>
    <row r="3" customFormat="false" ht="132" hidden="false" customHeight="true" outlineLevel="0" collapsed="false">
      <c r="A3" s="25" t="s">
        <v>191</v>
      </c>
      <c r="B3" s="25" t="s">
        <v>61</v>
      </c>
      <c r="C3" s="25" t="s">
        <v>227</v>
      </c>
      <c r="D3" s="30" t="s">
        <v>44</v>
      </c>
      <c r="E3" s="14" t="s">
        <v>228</v>
      </c>
      <c r="F3" s="25" t="s">
        <v>229</v>
      </c>
      <c r="G3" s="25" t="s">
        <v>230</v>
      </c>
      <c r="H3" s="25" t="s">
        <v>231</v>
      </c>
      <c r="I3" s="25" t="s">
        <v>232</v>
      </c>
      <c r="J3" s="31" t="s">
        <v>233</v>
      </c>
    </row>
    <row r="4" customFormat="false" ht="132" hidden="false" customHeight="true" outlineLevel="0" collapsed="false">
      <c r="A4" s="28" t="s">
        <v>202</v>
      </c>
      <c r="B4" s="28" t="s">
        <v>62</v>
      </c>
      <c r="C4" s="28" t="s">
        <v>234</v>
      </c>
      <c r="D4" s="29" t="s">
        <v>46</v>
      </c>
      <c r="E4" s="17" t="s">
        <v>235</v>
      </c>
      <c r="F4" s="28" t="s">
        <v>236</v>
      </c>
      <c r="G4" s="28" t="s">
        <v>237</v>
      </c>
      <c r="H4" s="28" t="s">
        <v>238</v>
      </c>
      <c r="I4" s="28" t="s">
        <v>239</v>
      </c>
      <c r="J4" s="32" t="s">
        <v>233</v>
      </c>
    </row>
    <row r="5" customFormat="false" ht="132" hidden="false" customHeight="true" outlineLevel="0" collapsed="false">
      <c r="A5" s="25" t="s">
        <v>208</v>
      </c>
      <c r="B5" s="25" t="s">
        <v>62</v>
      </c>
      <c r="C5" s="25" t="s">
        <v>240</v>
      </c>
      <c r="D5" s="29" t="s">
        <v>46</v>
      </c>
      <c r="E5" s="14" t="s">
        <v>235</v>
      </c>
      <c r="F5" s="25" t="s">
        <v>241</v>
      </c>
      <c r="G5" s="25" t="s">
        <v>242</v>
      </c>
      <c r="H5" s="25" t="s">
        <v>243</v>
      </c>
      <c r="I5" s="25" t="s">
        <v>244</v>
      </c>
      <c r="J5" s="31" t="s">
        <v>233</v>
      </c>
    </row>
    <row r="6" customFormat="false" ht="132" hidden="false" customHeight="true" outlineLevel="0" collapsed="false">
      <c r="A6" s="28" t="s">
        <v>220</v>
      </c>
      <c r="B6" s="28" t="s">
        <v>63</v>
      </c>
      <c r="C6" s="28" t="s">
        <v>245</v>
      </c>
      <c r="D6" s="29" t="s">
        <v>46</v>
      </c>
      <c r="E6" s="17" t="s">
        <v>235</v>
      </c>
      <c r="F6" s="28" t="s">
        <v>246</v>
      </c>
      <c r="G6" s="28" t="s">
        <v>247</v>
      </c>
      <c r="H6" s="28" t="s">
        <v>248</v>
      </c>
      <c r="I6" s="28" t="s">
        <v>249</v>
      </c>
      <c r="J6" s="32" t="s">
        <v>233</v>
      </c>
    </row>
    <row r="7" customFormat="false" ht="132" hidden="false" customHeight="true" outlineLevel="0" collapsed="false">
      <c r="A7" s="25" t="s">
        <v>39</v>
      </c>
      <c r="B7" s="25" t="s">
        <v>57</v>
      </c>
      <c r="C7" s="25" t="s">
        <v>250</v>
      </c>
      <c r="D7" s="33" t="s">
        <v>42</v>
      </c>
      <c r="E7" s="14" t="s">
        <v>251</v>
      </c>
      <c r="F7" s="25" t="s">
        <v>252</v>
      </c>
      <c r="G7" s="25" t="s">
        <v>253</v>
      </c>
      <c r="H7" s="25" t="s">
        <v>254</v>
      </c>
      <c r="I7" s="25" t="s">
        <v>255</v>
      </c>
      <c r="J7" s="33" t="s">
        <v>37</v>
      </c>
    </row>
  </sheetData>
  <autoFilter ref="A2:J7"/>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2026-09-07T06:20:46Z</dcterms:created>
  <dc:creator>openpyxl</dc:creator>
  <dc:description/>
  <dc:language>en-US</dc:language>
  <cp:lastModifiedBy/>
  <dcterms:modified xsi:type="dcterms:W3CDTF">2026-09-07T06:20:48Z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